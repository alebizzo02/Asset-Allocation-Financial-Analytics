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obizzini/Downloads/"/>
    </mc:Choice>
  </mc:AlternateContent>
  <xr:revisionPtr revIDLastSave="0" documentId="8_{EA66456C-8E51-6D40-B39F-A046F198EE47}" xr6:coauthVersionLast="47" xr6:coauthVersionMax="47" xr10:uidLastSave="{00000000-0000-0000-0000-000000000000}"/>
  <bookViews>
    <workbookView xWindow="0" yWindow="760" windowWidth="29400" windowHeight="17340" activeTab="4" xr2:uid="{440046A1-2323-564A-A075-690559A471CB}"/>
  </bookViews>
  <sheets>
    <sheet name="FACTORS" sheetId="1" r:id="rId1"/>
    <sheet name="ALLOCATIONS" sheetId="2" r:id="rId2"/>
    <sheet name="ADJ CLOSES - RETURNS" sheetId="4" r:id="rId3"/>
    <sheet name="CORRELATION MATRIX" sheetId="3" r:id="rId4"/>
    <sheet name="COVARIANCE MATRIX" sheetId="5" r:id="rId5"/>
  </sheets>
  <definedNames>
    <definedName name="_xlnm._FilterDatabase" localSheetId="2" hidden="1">'ADJ CLOSES - RETURNS'!$A$1:$B$1340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D6" i="5"/>
  <c r="E6" i="5"/>
  <c r="G6" i="5"/>
  <c r="F6" i="5"/>
  <c r="C6" i="5"/>
  <c r="B6" i="5"/>
  <c r="E5" i="5"/>
  <c r="G5" i="5"/>
  <c r="F5" i="5"/>
  <c r="D5" i="5"/>
  <c r="C5" i="5"/>
  <c r="B5" i="5"/>
  <c r="G4" i="5"/>
  <c r="F4" i="5"/>
  <c r="E4" i="5"/>
  <c r="D4" i="5"/>
  <c r="C4" i="5"/>
  <c r="B4" i="5"/>
  <c r="F9" i="3"/>
  <c r="E9" i="3"/>
  <c r="G8" i="3"/>
  <c r="E8" i="3"/>
  <c r="G7" i="3"/>
  <c r="F7" i="3"/>
  <c r="E6" i="3"/>
  <c r="D7" i="3"/>
  <c r="D4" i="3"/>
  <c r="G9" i="3"/>
  <c r="F8" i="3"/>
  <c r="E7" i="3"/>
  <c r="C5" i="3"/>
  <c r="D6" i="3"/>
  <c r="B6" i="3"/>
  <c r="D8" i="3"/>
  <c r="D9" i="3"/>
  <c r="C9" i="3"/>
  <c r="C8" i="3"/>
  <c r="C7" i="3"/>
  <c r="C6" i="3"/>
  <c r="G5" i="3"/>
  <c r="F5" i="3"/>
  <c r="E5" i="3"/>
  <c r="B5" i="3"/>
  <c r="D5" i="3"/>
  <c r="C4" i="3"/>
  <c r="B9" i="3"/>
  <c r="B8" i="3"/>
  <c r="B7" i="3"/>
  <c r="B4" i="3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B8" i="2"/>
  <c r="H2" i="1"/>
  <c r="H3" i="1"/>
  <c r="H7" i="1"/>
  <c r="H6" i="1"/>
  <c r="H5" i="1"/>
  <c r="H4" i="1"/>
</calcChain>
</file>

<file path=xl/sharedStrings.xml><?xml version="1.0" encoding="utf-8"?>
<sst xmlns="http://schemas.openxmlformats.org/spreadsheetml/2006/main" count="67" uniqueCount="34">
  <si>
    <t>CAGR</t>
  </si>
  <si>
    <t>P/E</t>
  </si>
  <si>
    <t>EV/EBITDA</t>
  </si>
  <si>
    <t>NET MARGIN</t>
  </si>
  <si>
    <t>ROIC</t>
  </si>
  <si>
    <t>BETA</t>
  </si>
  <si>
    <t>EXPECTED RETURN</t>
  </si>
  <si>
    <t>VOLATILITY</t>
  </si>
  <si>
    <t>COMPANY</t>
  </si>
  <si>
    <t>NVIDIA</t>
  </si>
  <si>
    <t>GOOGLE</t>
  </si>
  <si>
    <t>META</t>
  </si>
  <si>
    <t>AMAZON</t>
  </si>
  <si>
    <t>WALMART</t>
  </si>
  <si>
    <t>HOME DEPOT</t>
  </si>
  <si>
    <t>CONSERVATIVE</t>
  </si>
  <si>
    <t>MODERATE</t>
  </si>
  <si>
    <t>AGGRESSIVE</t>
  </si>
  <si>
    <t>TOTAL</t>
  </si>
  <si>
    <t>Date</t>
  </si>
  <si>
    <t>NVIDIA ADJ CLOSE</t>
  </si>
  <si>
    <t>GOOGLE ADJ CLOSE</t>
  </si>
  <si>
    <t>META ADJ CLOSE</t>
  </si>
  <si>
    <t>AMAZON ADJ CLOSE</t>
  </si>
  <si>
    <t>WALMART ADJ CLOSE</t>
  </si>
  <si>
    <t>HOME DEPOT ADJ CLOSE</t>
  </si>
  <si>
    <t>NVIDIA RETURNS</t>
  </si>
  <si>
    <t>GOOGLE RETURNS</t>
  </si>
  <si>
    <t>META RETURNS</t>
  </si>
  <si>
    <t>AMAZON RETURNS</t>
  </si>
  <si>
    <t>WALMART RETURNS</t>
  </si>
  <si>
    <t>HOME DEPOT RETURNS</t>
  </si>
  <si>
    <t>CORRELATION MATRIX</t>
  </si>
  <si>
    <t>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</si>
</sst>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32629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1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uce.yahoo.com/state-controls?locale=en-US&amp;state=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1393</xdr:row>
      <xdr:rowOff>0</xdr:rowOff>
    </xdr:from>
    <xdr:to>
      <xdr:col>0</xdr:col>
      <xdr:colOff>444500</xdr:colOff>
      <xdr:row>1394</xdr:row>
      <xdr:rowOff>25400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5E7F2-DCE8-B1FC-5358-389CFD12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9880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444500</xdr:colOff>
      <xdr:row>1398</xdr:row>
      <xdr:rowOff>25400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C5AC11-D7BD-474F-2366-1BEBD0CE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8516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444500</xdr:colOff>
      <xdr:row>1366</xdr:row>
      <xdr:rowOff>25400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5346C-600D-175F-8115-FC4D1A21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222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444500</xdr:colOff>
      <xdr:row>1370</xdr:row>
      <xdr:rowOff>25400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A64AAD-6B0C-67DB-42A8-6DF84934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85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444500</xdr:colOff>
      <xdr:row>1366</xdr:row>
      <xdr:rowOff>25400</xdr:rowOff>
    </xdr:to>
    <xdr:pic>
      <xdr:nvPicPr>
        <xdr:cNvPr id="8" name="Pictur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1C93F7-0C70-5FC9-E318-C0886301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222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444500</xdr:colOff>
      <xdr:row>1370</xdr:row>
      <xdr:rowOff>25400</xdr:rowOff>
    </xdr:to>
    <xdr:pic>
      <xdr:nvPicPr>
        <xdr:cNvPr id="9" name="Pictur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EE8C52-8AEB-6371-2652-74E58C32C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85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444500</xdr:colOff>
      <xdr:row>1366</xdr:row>
      <xdr:rowOff>25400</xdr:rowOff>
    </xdr:to>
    <xdr:pic>
      <xdr:nvPicPr>
        <xdr:cNvPr id="10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219F7-43C2-93D8-4FE7-00D8D84B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222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444500</xdr:colOff>
      <xdr:row>1370</xdr:row>
      <xdr:rowOff>25400</xdr:rowOff>
    </xdr:to>
    <xdr:pic>
      <xdr:nvPicPr>
        <xdr:cNvPr id="11" name="Pictur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AEED4-3FCD-C086-8723-0650463A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85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444500</xdr:colOff>
      <xdr:row>1366</xdr:row>
      <xdr:rowOff>25400</xdr:rowOff>
    </xdr:to>
    <xdr:pic>
      <xdr:nvPicPr>
        <xdr:cNvPr id="12" name="Pictur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51041B-2E8B-9C7F-E182-B8E0C4CB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222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444500</xdr:colOff>
      <xdr:row>1370</xdr:row>
      <xdr:rowOff>25400</xdr:rowOff>
    </xdr:to>
    <xdr:pic>
      <xdr:nvPicPr>
        <xdr:cNvPr id="13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9CA79-71C5-DAF8-D49B-2B85FC5C3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85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444500</xdr:colOff>
      <xdr:row>1366</xdr:row>
      <xdr:rowOff>25400</xdr:rowOff>
    </xdr:to>
    <xdr:pic>
      <xdr:nvPicPr>
        <xdr:cNvPr id="22" name="Pictur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6BC4F-2E10-B09D-E181-B05DD4322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222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444500</xdr:colOff>
      <xdr:row>1370</xdr:row>
      <xdr:rowOff>25400</xdr:rowOff>
    </xdr:to>
    <xdr:pic>
      <xdr:nvPicPr>
        <xdr:cNvPr id="23" name="Pictur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40D7B-915C-D6FD-283A-062A63CAD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85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444500</xdr:colOff>
      <xdr:row>1360</xdr:row>
      <xdr:rowOff>25400</xdr:rowOff>
    </xdr:to>
    <xdr:pic>
      <xdr:nvPicPr>
        <xdr:cNvPr id="24" name="Pictur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3953C-D321-25C3-C0AE-369B95E09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0030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444500</xdr:colOff>
      <xdr:row>1364</xdr:row>
      <xdr:rowOff>25400</xdr:rowOff>
    </xdr:to>
    <xdr:pic>
      <xdr:nvPicPr>
        <xdr:cNvPr id="25" name="Pictur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D3E90-33CF-26A8-5057-D5219274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8666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444500</xdr:colOff>
      <xdr:row>1380</xdr:row>
      <xdr:rowOff>25400</xdr:rowOff>
    </xdr:to>
    <xdr:pic>
      <xdr:nvPicPr>
        <xdr:cNvPr id="26" name="Pictur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24D6E1-ABD2-661C-93BF-7CA1F02B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670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444500</xdr:colOff>
      <xdr:row>1384</xdr:row>
      <xdr:rowOff>25400</xdr:rowOff>
    </xdr:to>
    <xdr:pic>
      <xdr:nvPicPr>
        <xdr:cNvPr id="27" name="Pictur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771C83-6F38-4068-217A-856542E03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9306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444500</xdr:colOff>
      <xdr:row>1379</xdr:row>
      <xdr:rowOff>25400</xdr:rowOff>
    </xdr:to>
    <xdr:pic>
      <xdr:nvPicPr>
        <xdr:cNvPr id="28" name="Pictur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EC7E5-FE8F-834A-005F-8F40BE0AF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8638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0</xdr:col>
      <xdr:colOff>444500</xdr:colOff>
      <xdr:row>1383</xdr:row>
      <xdr:rowOff>25400</xdr:rowOff>
    </xdr:to>
    <xdr:pic>
      <xdr:nvPicPr>
        <xdr:cNvPr id="29" name="Pictur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E1CAB-7AEB-F6DB-867C-FF43F1BA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27400"/>
          <a:ext cx="444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D7B4-044F-BE49-8694-316090DE07E1}">
  <dimension ref="A1:I7"/>
  <sheetViews>
    <sheetView zoomScale="159" workbookViewId="0">
      <selection activeCell="B16" sqref="B16"/>
    </sheetView>
  </sheetViews>
  <sheetFormatPr baseColWidth="10" defaultRowHeight="16" x14ac:dyDescent="0.2"/>
  <cols>
    <col min="1" max="1" width="12.83203125" customWidth="1"/>
    <col min="5" max="5" width="12" customWidth="1"/>
    <col min="8" max="8" width="17.83203125" customWidth="1"/>
  </cols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1" t="s">
        <v>9</v>
      </c>
      <c r="B2">
        <v>0.51</v>
      </c>
      <c r="C2">
        <v>35.4</v>
      </c>
      <c r="D2">
        <v>34.880000000000003</v>
      </c>
      <c r="E2">
        <v>55.85</v>
      </c>
      <c r="F2">
        <v>102.75</v>
      </c>
      <c r="G2" s="2">
        <v>1.75</v>
      </c>
      <c r="H2">
        <f>0.044+G2*0.055</f>
        <v>0.14024999999999999</v>
      </c>
      <c r="I2" s="3">
        <v>0.50009999999999999</v>
      </c>
    </row>
    <row r="3" spans="1:9" x14ac:dyDescent="0.2">
      <c r="A3" t="s">
        <v>10</v>
      </c>
      <c r="B3">
        <v>0.14000000000000001</v>
      </c>
      <c r="C3">
        <v>24.7</v>
      </c>
      <c r="D3">
        <v>17.71</v>
      </c>
      <c r="E3">
        <v>28.62</v>
      </c>
      <c r="F3">
        <v>30.42</v>
      </c>
      <c r="G3">
        <v>1.07</v>
      </c>
      <c r="H3">
        <f>0.044+G3*0.055</f>
        <v>0.10285</v>
      </c>
      <c r="I3" s="3">
        <v>0.29620000000000002</v>
      </c>
    </row>
    <row r="4" spans="1:9" x14ac:dyDescent="0.2">
      <c r="A4" t="s">
        <v>11</v>
      </c>
      <c r="B4">
        <v>0.14000000000000001</v>
      </c>
      <c r="C4">
        <v>21.3</v>
      </c>
      <c r="D4">
        <v>17.07</v>
      </c>
      <c r="E4">
        <v>37.909999999999997</v>
      </c>
      <c r="F4">
        <v>29.71</v>
      </c>
      <c r="G4">
        <v>1.24</v>
      </c>
      <c r="H4">
        <f>0.044+G4*0.055</f>
        <v>0.11219999999999999</v>
      </c>
      <c r="I4" s="3">
        <v>0.38150000000000001</v>
      </c>
    </row>
    <row r="5" spans="1:9" x14ac:dyDescent="0.2">
      <c r="A5" t="s">
        <v>12</v>
      </c>
      <c r="B5">
        <v>0.04</v>
      </c>
      <c r="C5">
        <v>35</v>
      </c>
      <c r="D5">
        <v>19.38</v>
      </c>
      <c r="E5">
        <v>9.2899999999999991</v>
      </c>
      <c r="F5">
        <v>15.71</v>
      </c>
      <c r="G5">
        <v>1.24</v>
      </c>
      <c r="H5">
        <f>0.044+G5*0.055</f>
        <v>0.11219999999999999</v>
      </c>
      <c r="I5" s="3">
        <v>0.31669999999999998</v>
      </c>
    </row>
    <row r="6" spans="1:9" x14ac:dyDescent="0.2">
      <c r="A6" t="s">
        <v>13</v>
      </c>
      <c r="B6">
        <v>0.11</v>
      </c>
      <c r="C6">
        <v>26</v>
      </c>
      <c r="D6">
        <v>19.98</v>
      </c>
      <c r="E6">
        <v>2.85</v>
      </c>
      <c r="F6">
        <v>13.79</v>
      </c>
      <c r="G6">
        <v>0.76</v>
      </c>
      <c r="H6">
        <f>0.044+G6*0.055</f>
        <v>8.5800000000000001E-2</v>
      </c>
      <c r="I6" s="3">
        <v>0.1903</v>
      </c>
    </row>
    <row r="7" spans="1:9" x14ac:dyDescent="0.2">
      <c r="A7" t="s">
        <v>14</v>
      </c>
      <c r="B7">
        <v>0.04</v>
      </c>
      <c r="C7">
        <v>23.6</v>
      </c>
      <c r="D7">
        <v>18.63</v>
      </c>
      <c r="E7">
        <v>36.15</v>
      </c>
      <c r="F7">
        <v>25.6</v>
      </c>
      <c r="G7">
        <v>0.99</v>
      </c>
      <c r="H7">
        <f>0.044+G6*0.055</f>
        <v>8.5800000000000001E-2</v>
      </c>
      <c r="I7" s="3">
        <v>0.23119999999999999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A75A-5D50-DC4B-836D-2F2F00EEF901}">
  <dimension ref="A1:D8"/>
  <sheetViews>
    <sheetView zoomScale="159" workbookViewId="0">
      <selection activeCell="B9" sqref="B9"/>
    </sheetView>
  </sheetViews>
  <sheetFormatPr baseColWidth="10" defaultRowHeight="16" x14ac:dyDescent="0.2"/>
  <cols>
    <col min="2" max="2" width="14.5" customWidth="1"/>
    <col min="4" max="4" width="12.1640625" customWidth="1"/>
  </cols>
  <sheetData>
    <row r="1" spans="1:4" x14ac:dyDescent="0.2">
      <c r="A1" t="s">
        <v>8</v>
      </c>
      <c r="B1" t="s">
        <v>15</v>
      </c>
      <c r="C1" t="s">
        <v>16</v>
      </c>
      <c r="D1" t="s">
        <v>17</v>
      </c>
    </row>
    <row r="2" spans="1:4" x14ac:dyDescent="0.2">
      <c r="A2" s="1" t="s">
        <v>9</v>
      </c>
      <c r="B2" s="4">
        <v>0</v>
      </c>
      <c r="C2" s="4">
        <v>0.1</v>
      </c>
      <c r="D2" s="4">
        <v>0.35</v>
      </c>
    </row>
    <row r="3" spans="1:4" x14ac:dyDescent="0.2">
      <c r="A3" t="s">
        <v>10</v>
      </c>
      <c r="B3" s="4">
        <v>0.3</v>
      </c>
      <c r="C3" s="4">
        <v>0.25</v>
      </c>
      <c r="D3" s="4">
        <v>0.1</v>
      </c>
    </row>
    <row r="4" spans="1:4" x14ac:dyDescent="0.2">
      <c r="A4" t="s">
        <v>11</v>
      </c>
      <c r="B4" s="4">
        <v>0.05</v>
      </c>
      <c r="C4" s="4">
        <v>0.2</v>
      </c>
      <c r="D4" s="4">
        <v>0.25</v>
      </c>
    </row>
    <row r="5" spans="1:4" x14ac:dyDescent="0.2">
      <c r="A5" t="s">
        <v>12</v>
      </c>
      <c r="B5" s="4">
        <v>0.05</v>
      </c>
      <c r="C5" s="4">
        <v>0.2</v>
      </c>
      <c r="D5" s="4">
        <v>0.2</v>
      </c>
    </row>
    <row r="6" spans="1:4" x14ac:dyDescent="0.2">
      <c r="A6" t="s">
        <v>13</v>
      </c>
      <c r="B6" s="4">
        <v>0.35</v>
      </c>
      <c r="C6" s="4">
        <v>0.15</v>
      </c>
      <c r="D6" s="4">
        <v>0.05</v>
      </c>
    </row>
    <row r="7" spans="1:4" x14ac:dyDescent="0.2">
      <c r="A7" t="s">
        <v>14</v>
      </c>
      <c r="B7" s="4">
        <v>0.25</v>
      </c>
      <c r="C7" s="4">
        <v>0.1</v>
      </c>
      <c r="D7" s="4">
        <v>0.05</v>
      </c>
    </row>
    <row r="8" spans="1:4" x14ac:dyDescent="0.2">
      <c r="A8" t="s">
        <v>18</v>
      </c>
      <c r="B8" s="4">
        <f>SUM(B2:B7)</f>
        <v>1</v>
      </c>
      <c r="C8" s="4">
        <v>1</v>
      </c>
      <c r="D8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7DF0-805A-5E4C-BB6F-ECB38A74534E}">
  <dimension ref="A1:M1224"/>
  <sheetViews>
    <sheetView workbookViewId="0">
      <selection activeCell="G1015" sqref="G1015"/>
    </sheetView>
  </sheetViews>
  <sheetFormatPr baseColWidth="10" defaultRowHeight="16" x14ac:dyDescent="0.2"/>
  <cols>
    <col min="2" max="2" width="17.83203125" customWidth="1"/>
    <col min="3" max="3" width="18.5" customWidth="1"/>
    <col min="4" max="4" width="17.5" customWidth="1"/>
    <col min="5" max="5" width="19.33203125" customWidth="1"/>
    <col min="6" max="6" width="19.6640625" customWidth="1"/>
    <col min="7" max="7" width="22.1640625" customWidth="1"/>
    <col min="8" max="8" width="22.1640625" bestFit="1" customWidth="1"/>
    <col min="9" max="9" width="18" customWidth="1"/>
    <col min="10" max="10" width="18.1640625" customWidth="1"/>
    <col min="11" max="11" width="17.33203125" customWidth="1"/>
    <col min="12" max="12" width="17.83203125" customWidth="1"/>
    <col min="13" max="13" width="20.5" customWidth="1"/>
  </cols>
  <sheetData>
    <row r="1" spans="1:13" x14ac:dyDescent="0.2">
      <c r="A1" s="5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x14ac:dyDescent="0.2">
      <c r="A2" s="6">
        <v>45996</v>
      </c>
      <c r="B2" s="7">
        <v>182.41</v>
      </c>
      <c r="C2" s="7">
        <v>321.27</v>
      </c>
      <c r="D2" s="7">
        <v>673.42</v>
      </c>
      <c r="E2" s="7">
        <v>229.53</v>
      </c>
      <c r="F2" s="7">
        <v>115.11</v>
      </c>
      <c r="G2" s="7">
        <v>354.61</v>
      </c>
    </row>
    <row r="3" spans="1:13" x14ac:dyDescent="0.2">
      <c r="A3" s="6">
        <v>45995</v>
      </c>
      <c r="B3" s="7">
        <v>183.38</v>
      </c>
      <c r="C3" s="7">
        <v>317.62</v>
      </c>
      <c r="D3" s="7">
        <v>661.53</v>
      </c>
      <c r="E3" s="7">
        <v>229.11</v>
      </c>
      <c r="F3" s="7">
        <v>114.84</v>
      </c>
      <c r="G3" s="7">
        <v>351.17</v>
      </c>
      <c r="H3">
        <f>LN(B3/B2)</f>
        <v>5.3036019229314923E-3</v>
      </c>
      <c r="I3">
        <f>LN(C3/C2)</f>
        <v>-1.1426191398392703E-2</v>
      </c>
      <c r="J3">
        <f>LN(D3/D2)</f>
        <v>-1.7813872315050668E-2</v>
      </c>
      <c r="K3">
        <f>LN(E3/E2)</f>
        <v>-1.8315023434677311E-3</v>
      </c>
      <c r="L3">
        <f>LN(F3/F2)</f>
        <v>-2.3483376741075079E-3</v>
      </c>
      <c r="M3">
        <f>LN(G3/G2)</f>
        <v>-9.7481573320505194E-3</v>
      </c>
    </row>
    <row r="4" spans="1:13" x14ac:dyDescent="0.2">
      <c r="A4" s="6">
        <v>45995</v>
      </c>
      <c r="B4" s="7">
        <v>179.58</v>
      </c>
      <c r="C4" s="7">
        <v>319.63</v>
      </c>
      <c r="D4" s="7">
        <v>639.6</v>
      </c>
      <c r="E4" s="7">
        <v>232.38</v>
      </c>
      <c r="F4" s="7">
        <v>114.41</v>
      </c>
      <c r="G4" s="7">
        <v>351.17</v>
      </c>
      <c r="H4">
        <f t="shared" ref="H4:H67" si="0">LN(B4/B3)</f>
        <v>-2.0939711529092065E-2</v>
      </c>
      <c r="I4">
        <f t="shared" ref="I4:I67" si="1">LN(C4/C3)</f>
        <v>6.3083771385241683E-3</v>
      </c>
      <c r="J4">
        <f t="shared" ref="J4:J67" si="2">LN(D4/D3)</f>
        <v>-3.3712353040786985E-2</v>
      </c>
      <c r="K4">
        <f t="shared" ref="K4:K67" si="3">LN(E4/E3)</f>
        <v>1.4171725186313351E-2</v>
      </c>
      <c r="L4">
        <f t="shared" ref="L4:L67" si="4">LN(F4/F3)</f>
        <v>-3.7513675400107603E-3</v>
      </c>
      <c r="M4">
        <f t="shared" ref="M4:M67" si="5">LN(G4/G3)</f>
        <v>0</v>
      </c>
    </row>
    <row r="5" spans="1:13" x14ac:dyDescent="0.2">
      <c r="A5" s="6">
        <v>45994</v>
      </c>
      <c r="B5" s="7">
        <v>181.45</v>
      </c>
      <c r="C5" s="7">
        <v>315.81</v>
      </c>
      <c r="D5" s="7">
        <v>647.1</v>
      </c>
      <c r="E5" s="7">
        <v>234.42</v>
      </c>
      <c r="F5" s="7">
        <v>112.41</v>
      </c>
      <c r="G5" s="7">
        <v>355.61</v>
      </c>
      <c r="H5">
        <f t="shared" si="0"/>
        <v>1.035934256641657E-2</v>
      </c>
      <c r="I5">
        <f t="shared" si="1"/>
        <v>-1.2023309889681661E-2</v>
      </c>
      <c r="J5">
        <f t="shared" si="2"/>
        <v>1.1657861103421164E-2</v>
      </c>
      <c r="K5">
        <f t="shared" si="3"/>
        <v>8.7404155403184667E-3</v>
      </c>
      <c r="L5">
        <f t="shared" si="4"/>
        <v>-1.7635586239146878E-2</v>
      </c>
      <c r="M5">
        <f t="shared" si="5"/>
        <v>1.2564188029118054E-2</v>
      </c>
    </row>
    <row r="6" spans="1:13" x14ac:dyDescent="0.2">
      <c r="A6" s="6">
        <v>45993</v>
      </c>
      <c r="B6" s="7">
        <v>179.91</v>
      </c>
      <c r="C6" s="7">
        <v>314.89</v>
      </c>
      <c r="D6" s="7">
        <v>640.87</v>
      </c>
      <c r="E6" s="7">
        <v>233.88</v>
      </c>
      <c r="F6" s="7">
        <v>111.53</v>
      </c>
      <c r="G6" s="7">
        <v>351.75</v>
      </c>
      <c r="H6">
        <f t="shared" si="0"/>
        <v>-8.5234078105512687E-3</v>
      </c>
      <c r="I6">
        <f t="shared" si="1"/>
        <v>-2.9173954416520606E-3</v>
      </c>
      <c r="J6">
        <f t="shared" si="2"/>
        <v>-9.6742138232211033E-3</v>
      </c>
      <c r="K6">
        <f t="shared" si="3"/>
        <v>-2.3062149875644825E-3</v>
      </c>
      <c r="L6">
        <f t="shared" si="4"/>
        <v>-7.8592884672601115E-3</v>
      </c>
      <c r="M6">
        <f t="shared" si="5"/>
        <v>-1.0913928734663949E-2</v>
      </c>
    </row>
    <row r="7" spans="1:13" x14ac:dyDescent="0.2">
      <c r="A7" s="6">
        <v>45992</v>
      </c>
      <c r="B7" s="7">
        <v>176.99</v>
      </c>
      <c r="C7" s="7">
        <v>320.18</v>
      </c>
      <c r="D7" s="7">
        <v>647.95000000000005</v>
      </c>
      <c r="E7" s="7">
        <v>233.22</v>
      </c>
      <c r="F7" s="7">
        <v>110.51</v>
      </c>
      <c r="G7" s="7">
        <v>355.03</v>
      </c>
      <c r="H7">
        <f t="shared" si="0"/>
        <v>-1.6363492045865628E-2</v>
      </c>
      <c r="I7">
        <f t="shared" si="1"/>
        <v>1.6659966160257316E-2</v>
      </c>
      <c r="J7">
        <f t="shared" si="2"/>
        <v>1.0986904641424189E-2</v>
      </c>
      <c r="K7">
        <f t="shared" si="3"/>
        <v>-2.8259492152829541E-3</v>
      </c>
      <c r="L7">
        <f t="shared" si="4"/>
        <v>-9.187598405754652E-3</v>
      </c>
      <c r="M7">
        <f t="shared" si="5"/>
        <v>9.2815969526519101E-3</v>
      </c>
    </row>
    <row r="8" spans="1:13" x14ac:dyDescent="0.2">
      <c r="A8" s="6">
        <v>45989</v>
      </c>
      <c r="B8" s="7">
        <v>180.25</v>
      </c>
      <c r="C8" s="7">
        <v>319.95</v>
      </c>
      <c r="D8" s="7">
        <v>633.61</v>
      </c>
      <c r="E8" s="7">
        <v>229.16</v>
      </c>
      <c r="F8" s="7">
        <v>109.1</v>
      </c>
      <c r="G8" s="7">
        <v>354.63</v>
      </c>
      <c r="H8">
        <f t="shared" si="0"/>
        <v>1.8251542362396095E-2</v>
      </c>
      <c r="I8">
        <f t="shared" si="1"/>
        <v>-7.1860406447917695E-4</v>
      </c>
      <c r="J8">
        <f t="shared" si="2"/>
        <v>-2.2379909677472172E-2</v>
      </c>
      <c r="K8">
        <f t="shared" si="3"/>
        <v>-1.7561764551809723E-2</v>
      </c>
      <c r="L8">
        <f t="shared" si="4"/>
        <v>-1.2841121761665854E-2</v>
      </c>
      <c r="M8">
        <f t="shared" si="5"/>
        <v>-1.1273005167550716E-3</v>
      </c>
    </row>
    <row r="9" spans="1:13" x14ac:dyDescent="0.2">
      <c r="A9" s="6">
        <v>45987</v>
      </c>
      <c r="B9" s="7">
        <v>177.81</v>
      </c>
      <c r="C9" s="7">
        <v>323.44</v>
      </c>
      <c r="D9" s="7">
        <v>636.22</v>
      </c>
      <c r="E9" s="7">
        <v>229.67</v>
      </c>
      <c r="F9" s="7">
        <v>107</v>
      </c>
      <c r="G9" s="7">
        <v>353.19</v>
      </c>
      <c r="H9">
        <f t="shared" si="0"/>
        <v>-1.3629211697201934E-2</v>
      </c>
      <c r="I9">
        <f t="shared" si="1"/>
        <v>1.0848891747046249E-2</v>
      </c>
      <c r="J9">
        <f t="shared" si="2"/>
        <v>4.110792272110874E-3</v>
      </c>
      <c r="K9">
        <f t="shared" si="3"/>
        <v>2.2230464879464517E-3</v>
      </c>
      <c r="L9">
        <f t="shared" si="4"/>
        <v>-1.9436058377118884E-2</v>
      </c>
      <c r="M9">
        <f t="shared" si="5"/>
        <v>-4.0688366721800947E-3</v>
      </c>
    </row>
    <row r="10" spans="1:13" x14ac:dyDescent="0.2">
      <c r="A10" s="6">
        <v>45986</v>
      </c>
      <c r="B10" s="7">
        <v>182.54</v>
      </c>
      <c r="C10" s="7">
        <v>318.58</v>
      </c>
      <c r="D10" s="7">
        <v>613.04999999999995</v>
      </c>
      <c r="E10" s="7">
        <v>226.28</v>
      </c>
      <c r="F10" s="7">
        <v>104.06</v>
      </c>
      <c r="G10" s="7">
        <v>348.81</v>
      </c>
      <c r="H10">
        <f t="shared" si="0"/>
        <v>2.625376262087481E-2</v>
      </c>
      <c r="I10">
        <f t="shared" si="1"/>
        <v>-1.514000446602329E-2</v>
      </c>
      <c r="J10">
        <f t="shared" si="2"/>
        <v>-3.7097916797666462E-2</v>
      </c>
      <c r="K10">
        <f t="shared" si="3"/>
        <v>-1.487032555336858E-2</v>
      </c>
      <c r="L10">
        <f t="shared" si="4"/>
        <v>-2.7861178599748716E-2</v>
      </c>
      <c r="M10">
        <f t="shared" si="5"/>
        <v>-1.247879440958866E-2</v>
      </c>
    </row>
    <row r="11" spans="1:13" x14ac:dyDescent="0.2">
      <c r="A11" s="6">
        <v>45985</v>
      </c>
      <c r="B11" s="7">
        <v>178.87</v>
      </c>
      <c r="C11" s="7">
        <v>299.66000000000003</v>
      </c>
      <c r="D11" s="7">
        <v>594.25</v>
      </c>
      <c r="E11" s="7">
        <v>220.69</v>
      </c>
      <c r="F11" s="7">
        <v>105.32</v>
      </c>
      <c r="G11" s="7">
        <v>334.42</v>
      </c>
      <c r="H11">
        <f t="shared" si="0"/>
        <v>-2.031004208357675E-2</v>
      </c>
      <c r="I11">
        <f t="shared" si="1"/>
        <v>-6.1225122251493971E-2</v>
      </c>
      <c r="J11">
        <f t="shared" si="2"/>
        <v>-3.1146392438092571E-2</v>
      </c>
      <c r="K11">
        <f t="shared" si="3"/>
        <v>-2.5014168614886523E-2</v>
      </c>
      <c r="L11">
        <f t="shared" si="4"/>
        <v>1.2035678765951196E-2</v>
      </c>
      <c r="M11">
        <f t="shared" si="5"/>
        <v>-4.2129673314103472E-2</v>
      </c>
    </row>
    <row r="12" spans="1:13" x14ac:dyDescent="0.2">
      <c r="A12" s="6">
        <v>45982</v>
      </c>
      <c r="B12" s="7">
        <v>180.63</v>
      </c>
      <c r="C12" s="7">
        <v>289.45</v>
      </c>
      <c r="D12" s="7">
        <v>589.15</v>
      </c>
      <c r="E12" s="7">
        <v>217.14</v>
      </c>
      <c r="F12" s="7">
        <v>107.11</v>
      </c>
      <c r="G12" s="7">
        <v>341.11</v>
      </c>
      <c r="H12">
        <f t="shared" si="0"/>
        <v>9.7914551393117628E-3</v>
      </c>
      <c r="I12">
        <f t="shared" si="1"/>
        <v>-3.466592808998456E-2</v>
      </c>
      <c r="J12">
        <f t="shared" si="2"/>
        <v>-8.619286080953607E-3</v>
      </c>
      <c r="K12">
        <f t="shared" si="3"/>
        <v>-1.6216695056362456E-2</v>
      </c>
      <c r="L12">
        <f t="shared" si="4"/>
        <v>1.6853009148429705E-2</v>
      </c>
      <c r="M12">
        <f t="shared" si="5"/>
        <v>1.980731787620521E-2</v>
      </c>
    </row>
    <row r="13" spans="1:13" x14ac:dyDescent="0.2">
      <c r="A13" s="6">
        <v>45981</v>
      </c>
      <c r="B13" s="7">
        <v>186.51</v>
      </c>
      <c r="C13" s="7">
        <v>292.81</v>
      </c>
      <c r="D13" s="7">
        <v>590.32000000000005</v>
      </c>
      <c r="E13" s="7">
        <v>222.69</v>
      </c>
      <c r="F13" s="7">
        <v>100.61</v>
      </c>
      <c r="G13" s="7">
        <v>330.24</v>
      </c>
      <c r="H13">
        <f t="shared" si="0"/>
        <v>3.2034116804889629E-2</v>
      </c>
      <c r="I13">
        <f t="shared" si="1"/>
        <v>1.1541363984406736E-2</v>
      </c>
      <c r="J13">
        <f t="shared" si="2"/>
        <v>1.9839425907615628E-3</v>
      </c>
      <c r="K13">
        <f t="shared" si="3"/>
        <v>2.5238362993859322E-2</v>
      </c>
      <c r="L13">
        <f t="shared" si="4"/>
        <v>-6.2604687472578927E-2</v>
      </c>
      <c r="M13">
        <f t="shared" si="5"/>
        <v>-3.2385343057584871E-2</v>
      </c>
    </row>
    <row r="14" spans="1:13" x14ac:dyDescent="0.2">
      <c r="A14" s="6">
        <v>45980</v>
      </c>
      <c r="B14" s="7">
        <v>181.35</v>
      </c>
      <c r="C14" s="7">
        <v>284.27999999999997</v>
      </c>
      <c r="D14" s="7">
        <v>597.69000000000005</v>
      </c>
      <c r="E14" s="7">
        <v>222.55</v>
      </c>
      <c r="F14" s="7">
        <v>101.39</v>
      </c>
      <c r="G14" s="7">
        <v>332.35</v>
      </c>
      <c r="H14">
        <f t="shared" si="0"/>
        <v>-2.8055991220444412E-2</v>
      </c>
      <c r="I14">
        <f t="shared" si="1"/>
        <v>-2.956426655072604E-2</v>
      </c>
      <c r="J14">
        <f t="shared" si="2"/>
        <v>1.2407462138730547E-2</v>
      </c>
      <c r="K14">
        <f t="shared" si="3"/>
        <v>-6.2887433570183717E-4</v>
      </c>
      <c r="L14">
        <f t="shared" si="4"/>
        <v>7.7228106605290864E-3</v>
      </c>
      <c r="M14">
        <f t="shared" si="5"/>
        <v>6.3689676344477362E-3</v>
      </c>
    </row>
    <row r="15" spans="1:13" x14ac:dyDescent="0.2">
      <c r="A15" s="6">
        <v>45979</v>
      </c>
      <c r="B15" s="7">
        <v>186.59</v>
      </c>
      <c r="C15" s="7">
        <v>285.02</v>
      </c>
      <c r="D15" s="7">
        <v>602.01</v>
      </c>
      <c r="E15" s="7">
        <v>232.87</v>
      </c>
      <c r="F15" s="7">
        <v>102.95</v>
      </c>
      <c r="G15" s="7">
        <v>334.32</v>
      </c>
      <c r="H15">
        <f t="shared" si="0"/>
        <v>2.8484830680246223E-2</v>
      </c>
      <c r="I15">
        <f t="shared" si="1"/>
        <v>2.5996852863717553E-3</v>
      </c>
      <c r="J15">
        <f t="shared" si="2"/>
        <v>7.2018315776943452E-3</v>
      </c>
      <c r="K15">
        <f t="shared" si="3"/>
        <v>4.5328562483280883E-2</v>
      </c>
      <c r="L15">
        <f t="shared" si="4"/>
        <v>1.5268966509310063E-2</v>
      </c>
      <c r="M15">
        <f t="shared" si="5"/>
        <v>5.9099876520690023E-3</v>
      </c>
    </row>
    <row r="16" spans="1:13" x14ac:dyDescent="0.2">
      <c r="A16" s="6">
        <v>45978</v>
      </c>
      <c r="B16" s="7">
        <v>190.16</v>
      </c>
      <c r="C16" s="7">
        <v>276.41000000000003</v>
      </c>
      <c r="D16" s="7">
        <v>609.46</v>
      </c>
      <c r="E16" s="7">
        <v>234.69</v>
      </c>
      <c r="F16" s="7">
        <v>102.48</v>
      </c>
      <c r="G16" s="7">
        <v>355.73</v>
      </c>
      <c r="H16">
        <f t="shared" si="0"/>
        <v>1.8952126642780752E-2</v>
      </c>
      <c r="I16">
        <f t="shared" si="1"/>
        <v>-3.0674082555939342E-2</v>
      </c>
      <c r="J16">
        <f t="shared" si="2"/>
        <v>1.2299262737630866E-2</v>
      </c>
      <c r="K16">
        <f t="shared" si="3"/>
        <v>7.785136419954492E-3</v>
      </c>
      <c r="L16">
        <f t="shared" si="4"/>
        <v>-4.57577588531959E-3</v>
      </c>
      <c r="M16">
        <f t="shared" si="5"/>
        <v>6.2073397994845507E-2</v>
      </c>
    </row>
    <row r="17" spans="1:13" x14ac:dyDescent="0.2">
      <c r="A17" s="6">
        <v>45975</v>
      </c>
      <c r="B17" s="7">
        <v>186.85</v>
      </c>
      <c r="C17" s="7">
        <v>278.57</v>
      </c>
      <c r="D17" s="7">
        <v>609.89</v>
      </c>
      <c r="E17" s="7">
        <v>237.58</v>
      </c>
      <c r="F17" s="7">
        <v>102.54</v>
      </c>
      <c r="G17" s="7">
        <v>360.03</v>
      </c>
      <c r="H17">
        <f t="shared" si="0"/>
        <v>-1.7559667120445575E-2</v>
      </c>
      <c r="I17">
        <f t="shared" si="1"/>
        <v>7.7841035950749838E-3</v>
      </c>
      <c r="J17">
        <f t="shared" si="2"/>
        <v>7.0529383331268281E-4</v>
      </c>
      <c r="K17">
        <f t="shared" si="3"/>
        <v>1.2238914496294757E-2</v>
      </c>
      <c r="L17">
        <f t="shared" si="4"/>
        <v>5.8530876707577322E-4</v>
      </c>
      <c r="M17">
        <f t="shared" si="5"/>
        <v>1.2015345176954201E-2</v>
      </c>
    </row>
    <row r="18" spans="1:13" x14ac:dyDescent="0.2">
      <c r="A18" s="6">
        <v>45974</v>
      </c>
      <c r="B18" s="7">
        <v>193.79</v>
      </c>
      <c r="C18" s="7">
        <v>286.70999999999998</v>
      </c>
      <c r="D18" s="7">
        <v>609.01</v>
      </c>
      <c r="E18" s="7">
        <v>244.2</v>
      </c>
      <c r="F18" s="7">
        <v>103.44</v>
      </c>
      <c r="G18" s="7">
        <v>365.7</v>
      </c>
      <c r="H18">
        <f t="shared" si="0"/>
        <v>3.6468942606665139E-2</v>
      </c>
      <c r="I18">
        <f t="shared" si="1"/>
        <v>2.8801877661996177E-2</v>
      </c>
      <c r="J18">
        <f t="shared" si="2"/>
        <v>-1.4439251011470657E-3</v>
      </c>
      <c r="K18">
        <f t="shared" si="3"/>
        <v>2.7483152815210583E-2</v>
      </c>
      <c r="L18">
        <f t="shared" si="4"/>
        <v>8.7387681080474608E-3</v>
      </c>
      <c r="M18">
        <f t="shared" si="5"/>
        <v>1.5625963843875944E-2</v>
      </c>
    </row>
    <row r="19" spans="1:13" x14ac:dyDescent="0.2">
      <c r="A19" s="6">
        <v>45973</v>
      </c>
      <c r="B19" s="7">
        <v>193.15</v>
      </c>
      <c r="C19" s="7">
        <v>291.31</v>
      </c>
      <c r="D19" s="7">
        <v>627.08000000000004</v>
      </c>
      <c r="E19" s="7">
        <v>249.1</v>
      </c>
      <c r="F19" s="7">
        <v>103.44</v>
      </c>
      <c r="G19" s="7">
        <v>368.75</v>
      </c>
      <c r="H19">
        <f t="shared" si="0"/>
        <v>-3.3080094258676361E-3</v>
      </c>
      <c r="I19">
        <f t="shared" si="1"/>
        <v>1.59167403005489E-2</v>
      </c>
      <c r="J19">
        <f t="shared" si="2"/>
        <v>2.9239436263998081E-2</v>
      </c>
      <c r="K19">
        <f t="shared" si="3"/>
        <v>1.9866860591530349E-2</v>
      </c>
      <c r="L19">
        <f t="shared" si="4"/>
        <v>0</v>
      </c>
      <c r="M19">
        <f t="shared" si="5"/>
        <v>8.3055824986941178E-3</v>
      </c>
    </row>
    <row r="20" spans="1:13" x14ac:dyDescent="0.2">
      <c r="A20" s="6">
        <v>45972</v>
      </c>
      <c r="B20" s="7">
        <v>199.04</v>
      </c>
      <c r="C20" s="7">
        <v>290.10000000000002</v>
      </c>
      <c r="D20" s="7">
        <v>631.76</v>
      </c>
      <c r="E20" s="7">
        <v>248.4</v>
      </c>
      <c r="F20" s="7">
        <v>102.42</v>
      </c>
      <c r="G20" s="7">
        <v>371.84</v>
      </c>
      <c r="H20">
        <f t="shared" si="0"/>
        <v>3.0038720438524159E-2</v>
      </c>
      <c r="I20">
        <f t="shared" si="1"/>
        <v>-4.1623011193885001E-3</v>
      </c>
      <c r="J20">
        <f t="shared" si="2"/>
        <v>7.4354509889952326E-3</v>
      </c>
      <c r="K20">
        <f t="shared" si="3"/>
        <v>-2.8140722088110222E-3</v>
      </c>
      <c r="L20">
        <f t="shared" si="4"/>
        <v>-9.9097284291977828E-3</v>
      </c>
      <c r="M20">
        <f t="shared" si="5"/>
        <v>8.3447465694620748E-3</v>
      </c>
    </row>
    <row r="21" spans="1:13" x14ac:dyDescent="0.2">
      <c r="A21" s="6">
        <v>45971</v>
      </c>
      <c r="B21" s="7">
        <v>188.14</v>
      </c>
      <c r="C21" s="7">
        <v>278.83</v>
      </c>
      <c r="D21" s="7">
        <v>621.71</v>
      </c>
      <c r="E21" s="7">
        <v>244.41</v>
      </c>
      <c r="F21" s="7">
        <v>102.59</v>
      </c>
      <c r="G21" s="7">
        <v>368.05</v>
      </c>
      <c r="H21">
        <f t="shared" si="0"/>
        <v>-5.6319443007009334E-2</v>
      </c>
      <c r="I21">
        <f t="shared" si="1"/>
        <v>-3.962341401267002E-2</v>
      </c>
      <c r="J21">
        <f t="shared" si="2"/>
        <v>-1.6035829114972668E-2</v>
      </c>
      <c r="K21">
        <f t="shared" si="3"/>
        <v>-1.6193207068663652E-2</v>
      </c>
      <c r="L21">
        <f t="shared" si="4"/>
        <v>1.658456065217103E-3</v>
      </c>
      <c r="M21">
        <f t="shared" si="5"/>
        <v>-1.0244855718776723E-2</v>
      </c>
    </row>
    <row r="22" spans="1:13" x14ac:dyDescent="0.2">
      <c r="A22" s="6">
        <v>45968</v>
      </c>
      <c r="B22" s="7">
        <v>188.07</v>
      </c>
      <c r="C22" s="7">
        <v>284.75</v>
      </c>
      <c r="D22" s="7">
        <v>618.94000000000005</v>
      </c>
      <c r="E22" s="7">
        <v>243.04</v>
      </c>
      <c r="F22" s="7">
        <v>101.68</v>
      </c>
      <c r="G22" s="7">
        <v>368.73</v>
      </c>
      <c r="H22">
        <f t="shared" si="0"/>
        <v>-3.7213258981853078E-4</v>
      </c>
      <c r="I22">
        <f t="shared" si="1"/>
        <v>2.1009325212603142E-2</v>
      </c>
      <c r="J22">
        <f t="shared" si="2"/>
        <v>-4.4654086209423346E-3</v>
      </c>
      <c r="K22">
        <f t="shared" si="3"/>
        <v>-5.6211041431974366E-3</v>
      </c>
      <c r="L22">
        <f t="shared" si="4"/>
        <v>-8.9098352184227396E-3</v>
      </c>
      <c r="M22">
        <f t="shared" si="5"/>
        <v>1.8458703902841309E-3</v>
      </c>
    </row>
    <row r="23" spans="1:13" x14ac:dyDescent="0.2">
      <c r="A23" s="6">
        <v>45967</v>
      </c>
      <c r="B23" s="7">
        <v>195.2</v>
      </c>
      <c r="C23" s="7">
        <v>284.31</v>
      </c>
      <c r="D23" s="7">
        <v>635.95000000000005</v>
      </c>
      <c r="E23" s="7">
        <v>250.2</v>
      </c>
      <c r="F23" s="7">
        <v>101.47</v>
      </c>
      <c r="G23" s="7">
        <v>366.7</v>
      </c>
      <c r="H23">
        <f t="shared" si="0"/>
        <v>3.7210440025005162E-2</v>
      </c>
      <c r="I23">
        <f t="shared" si="1"/>
        <v>-1.5464101770782783E-3</v>
      </c>
      <c r="J23">
        <f t="shared" si="2"/>
        <v>2.7111606444083114E-2</v>
      </c>
      <c r="K23">
        <f t="shared" si="3"/>
        <v>2.9034559185347995E-2</v>
      </c>
      <c r="L23">
        <f t="shared" si="4"/>
        <v>-2.0674385902072121E-3</v>
      </c>
      <c r="M23">
        <f t="shared" si="5"/>
        <v>-5.5205938177188543E-3</v>
      </c>
    </row>
    <row r="24" spans="1:13" x14ac:dyDescent="0.2">
      <c r="A24" s="6">
        <v>45966</v>
      </c>
      <c r="B24" s="7">
        <v>198.68</v>
      </c>
      <c r="C24" s="7">
        <v>277.54000000000002</v>
      </c>
      <c r="D24" s="7">
        <v>627.32000000000005</v>
      </c>
      <c r="E24" s="7">
        <v>249.32</v>
      </c>
      <c r="F24" s="7">
        <v>102.27</v>
      </c>
      <c r="G24" s="7">
        <v>371.44</v>
      </c>
      <c r="H24">
        <f t="shared" si="0"/>
        <v>1.7670816260157755E-2</v>
      </c>
      <c r="I24">
        <f t="shared" si="1"/>
        <v>-2.4100125207348725E-2</v>
      </c>
      <c r="J24">
        <f t="shared" si="2"/>
        <v>-1.3663166631269605E-2</v>
      </c>
      <c r="K24">
        <f t="shared" si="3"/>
        <v>-3.5233860921608942E-3</v>
      </c>
      <c r="L24">
        <f t="shared" si="4"/>
        <v>7.8531865269299336E-3</v>
      </c>
      <c r="M24">
        <f t="shared" si="5"/>
        <v>1.2843268634386059E-2</v>
      </c>
    </row>
    <row r="25" spans="1:13" x14ac:dyDescent="0.2">
      <c r="A25" s="6">
        <v>45965</v>
      </c>
      <c r="B25" s="7">
        <v>206.87</v>
      </c>
      <c r="C25" s="7">
        <v>283.72000000000003</v>
      </c>
      <c r="D25" s="7">
        <v>637.71</v>
      </c>
      <c r="E25" s="7">
        <v>254</v>
      </c>
      <c r="F25" s="7">
        <v>101.59</v>
      </c>
      <c r="G25" s="7">
        <v>380.62</v>
      </c>
      <c r="H25">
        <f t="shared" si="0"/>
        <v>4.0395086415808121E-2</v>
      </c>
      <c r="I25">
        <f t="shared" si="1"/>
        <v>2.2022769391021515E-2</v>
      </c>
      <c r="J25">
        <f t="shared" si="2"/>
        <v>1.6426857286920019E-2</v>
      </c>
      <c r="K25">
        <f t="shared" si="3"/>
        <v>1.8597055077886795E-2</v>
      </c>
      <c r="L25">
        <f t="shared" si="4"/>
        <v>-6.6712697144677728E-3</v>
      </c>
      <c r="M25">
        <f t="shared" si="5"/>
        <v>2.4414158377215119E-2</v>
      </c>
    </row>
    <row r="26" spans="1:13" x14ac:dyDescent="0.2">
      <c r="A26" s="6">
        <v>45964</v>
      </c>
      <c r="B26" s="7">
        <v>202.48</v>
      </c>
      <c r="C26" s="7">
        <v>281.19</v>
      </c>
      <c r="D26" s="7">
        <v>648.35</v>
      </c>
      <c r="E26" s="7">
        <v>244.22</v>
      </c>
      <c r="F26" s="7">
        <v>101.18</v>
      </c>
      <c r="G26" s="7">
        <v>375.92</v>
      </c>
      <c r="H26">
        <f t="shared" si="0"/>
        <v>-2.1449460418089279E-2</v>
      </c>
      <c r="I26">
        <f t="shared" si="1"/>
        <v>-8.9572389073819952E-3</v>
      </c>
      <c r="J26">
        <f t="shared" si="2"/>
        <v>1.6547039441749383E-2</v>
      </c>
      <c r="K26">
        <f t="shared" si="3"/>
        <v>-3.9264808613660801E-2</v>
      </c>
      <c r="L26">
        <f t="shared" si="4"/>
        <v>-4.0439962396635575E-3</v>
      </c>
      <c r="M26">
        <f t="shared" si="5"/>
        <v>-1.2425147294321029E-2</v>
      </c>
    </row>
    <row r="27" spans="1:13" x14ac:dyDescent="0.2">
      <c r="A27" s="6">
        <v>45961</v>
      </c>
      <c r="B27" s="7">
        <v>202.88</v>
      </c>
      <c r="C27" s="7">
        <v>281.48</v>
      </c>
      <c r="D27" s="7">
        <v>666.47</v>
      </c>
      <c r="E27" s="7">
        <v>222.86</v>
      </c>
      <c r="F27" s="7">
        <v>102.23</v>
      </c>
      <c r="G27" s="7">
        <v>377.15</v>
      </c>
      <c r="H27">
        <f t="shared" si="0"/>
        <v>1.9735550119925884E-3</v>
      </c>
      <c r="I27">
        <f t="shared" si="1"/>
        <v>1.0307996718442181E-3</v>
      </c>
      <c r="J27">
        <f t="shared" si="2"/>
        <v>2.7564453358020029E-2</v>
      </c>
      <c r="K27">
        <f t="shared" si="3"/>
        <v>-9.1525686785967841E-2</v>
      </c>
      <c r="L27">
        <f t="shared" si="4"/>
        <v>1.0324067905132621E-2</v>
      </c>
      <c r="M27">
        <f t="shared" si="5"/>
        <v>3.2666315050794226E-3</v>
      </c>
    </row>
    <row r="28" spans="1:13" x14ac:dyDescent="0.2">
      <c r="A28" s="6">
        <v>45960</v>
      </c>
      <c r="B28" s="7">
        <v>207.03</v>
      </c>
      <c r="C28" s="7">
        <v>274.57</v>
      </c>
      <c r="D28" s="7">
        <v>751.67</v>
      </c>
      <c r="E28" s="7">
        <v>230.3</v>
      </c>
      <c r="F28" s="7">
        <v>102.46</v>
      </c>
      <c r="G28" s="7">
        <v>377.11</v>
      </c>
      <c r="H28">
        <f t="shared" si="0"/>
        <v>2.0249039051759104E-2</v>
      </c>
      <c r="I28">
        <f t="shared" si="1"/>
        <v>-2.4855159550590592E-2</v>
      </c>
      <c r="J28">
        <f t="shared" si="2"/>
        <v>0.12030227049572338</v>
      </c>
      <c r="K28">
        <f t="shared" si="3"/>
        <v>3.2839035207731543E-2</v>
      </c>
      <c r="L28">
        <f t="shared" si="4"/>
        <v>2.2473017421334009E-3</v>
      </c>
      <c r="M28">
        <f t="shared" si="5"/>
        <v>-1.0606422198573709E-4</v>
      </c>
    </row>
    <row r="29" spans="1:13" x14ac:dyDescent="0.2">
      <c r="A29" s="6">
        <v>45959</v>
      </c>
      <c r="B29" s="7">
        <v>201.02</v>
      </c>
      <c r="C29" s="7">
        <v>267.47000000000003</v>
      </c>
      <c r="D29" s="7">
        <v>751.44</v>
      </c>
      <c r="E29" s="7">
        <v>229.25</v>
      </c>
      <c r="F29" s="7">
        <v>103.17</v>
      </c>
      <c r="G29" s="7">
        <v>375.61</v>
      </c>
      <c r="H29">
        <f t="shared" si="0"/>
        <v>-2.9459304704026305E-2</v>
      </c>
      <c r="I29">
        <f t="shared" si="1"/>
        <v>-2.619882703363562E-2</v>
      </c>
      <c r="J29">
        <f t="shared" si="2"/>
        <v>-3.0603216237666032E-4</v>
      </c>
      <c r="K29">
        <f t="shared" si="3"/>
        <v>-4.5696956900652969E-3</v>
      </c>
      <c r="L29">
        <f t="shared" si="4"/>
        <v>6.9056346012284081E-3</v>
      </c>
      <c r="M29">
        <f t="shared" si="5"/>
        <v>-3.9855510298028741E-3</v>
      </c>
    </row>
    <row r="30" spans="1:13" x14ac:dyDescent="0.2">
      <c r="A30" s="6">
        <v>45958</v>
      </c>
      <c r="B30" s="7">
        <v>191.48</v>
      </c>
      <c r="C30" s="7">
        <v>269.27</v>
      </c>
      <c r="D30" s="7">
        <v>750.82</v>
      </c>
      <c r="E30" s="7">
        <v>226.97</v>
      </c>
      <c r="F30" s="7">
        <v>104.47</v>
      </c>
      <c r="G30" s="7">
        <v>383.27</v>
      </c>
      <c r="H30">
        <f t="shared" si="0"/>
        <v>-4.8621041072285556E-2</v>
      </c>
      <c r="I30">
        <f t="shared" si="1"/>
        <v>6.7071831722651208E-3</v>
      </c>
      <c r="J30">
        <f t="shared" si="2"/>
        <v>-8.2542307616754681E-4</v>
      </c>
      <c r="K30">
        <f t="shared" si="3"/>
        <v>-9.9952609791959749E-3</v>
      </c>
      <c r="L30">
        <f t="shared" si="4"/>
        <v>1.2521835737132109E-2</v>
      </c>
      <c r="M30">
        <f t="shared" si="5"/>
        <v>2.0188330600133763E-2</v>
      </c>
    </row>
    <row r="31" spans="1:13" x14ac:dyDescent="0.2">
      <c r="A31" s="6">
        <v>45957</v>
      </c>
      <c r="B31" s="7">
        <v>186.25</v>
      </c>
      <c r="C31" s="7">
        <v>259.92</v>
      </c>
      <c r="D31" s="7">
        <v>738.36</v>
      </c>
      <c r="E31" s="7">
        <v>224.21</v>
      </c>
      <c r="F31" s="7">
        <v>106.17</v>
      </c>
      <c r="G31" s="7">
        <v>382.79</v>
      </c>
      <c r="H31">
        <f t="shared" si="0"/>
        <v>-2.7693507264639358E-2</v>
      </c>
      <c r="I31">
        <f t="shared" si="1"/>
        <v>-3.5340702325542213E-2</v>
      </c>
      <c r="J31">
        <f t="shared" si="2"/>
        <v>-1.6734432069693196E-2</v>
      </c>
      <c r="K31">
        <f t="shared" si="3"/>
        <v>-1.2234737480998148E-2</v>
      </c>
      <c r="L31">
        <f t="shared" si="4"/>
        <v>1.6141634176065092E-2</v>
      </c>
      <c r="M31">
        <f t="shared" si="5"/>
        <v>-1.2531657123904978E-3</v>
      </c>
    </row>
    <row r="32" spans="1:13" x14ac:dyDescent="0.2">
      <c r="A32" s="6">
        <v>45954</v>
      </c>
      <c r="B32" s="7">
        <v>182.15</v>
      </c>
      <c r="C32" s="7">
        <v>253.08</v>
      </c>
      <c r="D32" s="7">
        <v>734</v>
      </c>
      <c r="E32" s="7">
        <v>221.09</v>
      </c>
      <c r="F32" s="7">
        <v>106.86</v>
      </c>
      <c r="G32" s="7">
        <v>384.2</v>
      </c>
      <c r="H32">
        <f t="shared" si="0"/>
        <v>-2.2259333805096076E-2</v>
      </c>
      <c r="I32">
        <f t="shared" si="1"/>
        <v>-2.6668247082161294E-2</v>
      </c>
      <c r="J32">
        <f t="shared" si="2"/>
        <v>-5.922481925883738E-3</v>
      </c>
      <c r="K32">
        <f t="shared" si="3"/>
        <v>-1.4013254239251885E-2</v>
      </c>
      <c r="L32">
        <f t="shared" si="4"/>
        <v>6.477983504143644E-3</v>
      </c>
      <c r="M32">
        <f t="shared" si="5"/>
        <v>3.6767143988617277E-3</v>
      </c>
    </row>
    <row r="33" spans="1:13" x14ac:dyDescent="0.2">
      <c r="A33" s="6">
        <v>45953</v>
      </c>
      <c r="B33" s="7">
        <v>180.27</v>
      </c>
      <c r="C33" s="7">
        <v>251.69</v>
      </c>
      <c r="D33" s="7">
        <v>733.41</v>
      </c>
      <c r="E33" s="7">
        <v>217.95</v>
      </c>
      <c r="F33" s="7">
        <v>107.14</v>
      </c>
      <c r="G33" s="7">
        <v>382.56</v>
      </c>
      <c r="H33">
        <f t="shared" si="0"/>
        <v>-1.037479644062651E-2</v>
      </c>
      <c r="I33">
        <f t="shared" si="1"/>
        <v>-5.5074727637719166E-3</v>
      </c>
      <c r="J33">
        <f t="shared" si="2"/>
        <v>-8.0413794616777197E-4</v>
      </c>
      <c r="K33">
        <f t="shared" si="3"/>
        <v>-1.4304179752726603E-2</v>
      </c>
      <c r="L33">
        <f t="shared" si="4"/>
        <v>2.616823923189091E-3</v>
      </c>
      <c r="M33">
        <f t="shared" si="5"/>
        <v>-4.2777466244416319E-3</v>
      </c>
    </row>
    <row r="34" spans="1:13" x14ac:dyDescent="0.2">
      <c r="A34" s="6">
        <v>45952</v>
      </c>
      <c r="B34" s="7">
        <v>181.15</v>
      </c>
      <c r="C34" s="7">
        <v>250.46</v>
      </c>
      <c r="D34" s="7">
        <v>733.27</v>
      </c>
      <c r="E34" s="7">
        <v>222.03</v>
      </c>
      <c r="F34" s="7">
        <v>106.22</v>
      </c>
      <c r="G34" s="7">
        <v>386.47</v>
      </c>
      <c r="H34">
        <f t="shared" si="0"/>
        <v>4.8696903271399309E-3</v>
      </c>
      <c r="I34">
        <f t="shared" si="1"/>
        <v>-4.8989443790251868E-3</v>
      </c>
      <c r="J34">
        <f t="shared" si="2"/>
        <v>-1.9090735596746482E-4</v>
      </c>
      <c r="K34">
        <f t="shared" si="3"/>
        <v>1.8546829193083196E-2</v>
      </c>
      <c r="L34">
        <f t="shared" si="4"/>
        <v>-8.6239754585612054E-3</v>
      </c>
      <c r="M34">
        <f t="shared" si="5"/>
        <v>1.0168741641252059E-2</v>
      </c>
    </row>
    <row r="35" spans="1:13" x14ac:dyDescent="0.2">
      <c r="A35" s="6">
        <v>45951</v>
      </c>
      <c r="B35" s="7">
        <v>182.63</v>
      </c>
      <c r="C35" s="7">
        <v>256.55</v>
      </c>
      <c r="D35" s="7">
        <v>732.17</v>
      </c>
      <c r="E35" s="7">
        <v>216.48</v>
      </c>
      <c r="F35" s="7">
        <v>107.05</v>
      </c>
      <c r="G35" s="7">
        <v>388.39</v>
      </c>
      <c r="H35">
        <f t="shared" si="0"/>
        <v>8.1368308628640851E-3</v>
      </c>
      <c r="I35">
        <f t="shared" si="1"/>
        <v>2.4024350252087399E-2</v>
      </c>
      <c r="J35">
        <f t="shared" si="2"/>
        <v>-1.5012558775460503E-3</v>
      </c>
      <c r="K35">
        <f t="shared" si="3"/>
        <v>-2.5314343455006858E-2</v>
      </c>
      <c r="L35">
        <f t="shared" si="4"/>
        <v>7.7836000414386172E-3</v>
      </c>
      <c r="M35">
        <f t="shared" si="5"/>
        <v>4.955744081517402E-3</v>
      </c>
    </row>
    <row r="36" spans="1:13" x14ac:dyDescent="0.2">
      <c r="A36" s="6">
        <v>45950</v>
      </c>
      <c r="B36" s="7">
        <v>183.21</v>
      </c>
      <c r="C36" s="7">
        <v>253.3</v>
      </c>
      <c r="D36" s="7">
        <v>716.92</v>
      </c>
      <c r="E36" s="7">
        <v>213.04</v>
      </c>
      <c r="F36" s="7">
        <v>107.73</v>
      </c>
      <c r="G36" s="7">
        <v>386.39</v>
      </c>
      <c r="H36">
        <f t="shared" si="0"/>
        <v>3.1707876992027517E-3</v>
      </c>
      <c r="I36">
        <f t="shared" si="1"/>
        <v>-1.2749020380344291E-2</v>
      </c>
      <c r="J36">
        <f t="shared" si="2"/>
        <v>-2.1048469071437734E-2</v>
      </c>
      <c r="K36">
        <f t="shared" si="3"/>
        <v>-1.6018222916801099E-2</v>
      </c>
      <c r="L36">
        <f t="shared" si="4"/>
        <v>6.3320818704094527E-3</v>
      </c>
      <c r="M36">
        <f t="shared" si="5"/>
        <v>-5.1627673464961022E-3</v>
      </c>
    </row>
    <row r="37" spans="1:13" x14ac:dyDescent="0.2">
      <c r="A37" s="6">
        <v>45947</v>
      </c>
      <c r="B37" s="7">
        <v>183.21</v>
      </c>
      <c r="C37" s="7">
        <v>251.46</v>
      </c>
      <c r="D37" s="7">
        <v>712.07</v>
      </c>
      <c r="E37" s="7">
        <v>214.47</v>
      </c>
      <c r="F37" s="7">
        <v>106.47</v>
      </c>
      <c r="G37" s="7">
        <v>389.38</v>
      </c>
      <c r="H37">
        <f t="shared" si="0"/>
        <v>0</v>
      </c>
      <c r="I37">
        <f t="shared" si="1"/>
        <v>-7.2906258425943565E-3</v>
      </c>
      <c r="J37">
        <f t="shared" si="2"/>
        <v>-6.7880371772433478E-3</v>
      </c>
      <c r="K37">
        <f t="shared" si="3"/>
        <v>6.6899269411932801E-3</v>
      </c>
      <c r="L37">
        <f t="shared" si="4"/>
        <v>-1.176484157958637E-2</v>
      </c>
      <c r="M37">
        <f t="shared" si="5"/>
        <v>7.7085084644763525E-3</v>
      </c>
    </row>
    <row r="38" spans="1:13" x14ac:dyDescent="0.2">
      <c r="A38" s="6">
        <v>45946</v>
      </c>
      <c r="B38" s="7">
        <v>183.21</v>
      </c>
      <c r="C38" s="7">
        <v>251.03</v>
      </c>
      <c r="D38" s="7">
        <v>717.55</v>
      </c>
      <c r="E38" s="7">
        <v>215.57</v>
      </c>
      <c r="F38" s="7">
        <v>109.03</v>
      </c>
      <c r="G38" s="7">
        <v>384.9</v>
      </c>
      <c r="H38">
        <f t="shared" si="0"/>
        <v>0</v>
      </c>
      <c r="I38">
        <f t="shared" si="1"/>
        <v>-1.7114772630753565E-3</v>
      </c>
      <c r="J38">
        <f t="shared" si="2"/>
        <v>7.6664104307875127E-3</v>
      </c>
      <c r="K38">
        <f t="shared" si="3"/>
        <v>5.1158143384721745E-3</v>
      </c>
      <c r="L38">
        <f t="shared" si="4"/>
        <v>2.375981839177561E-2</v>
      </c>
      <c r="M38">
        <f t="shared" si="5"/>
        <v>-1.1572170261063825E-2</v>
      </c>
    </row>
    <row r="39" spans="1:13" x14ac:dyDescent="0.2">
      <c r="A39" s="6">
        <v>45945</v>
      </c>
      <c r="B39" s="7">
        <v>183.21</v>
      </c>
      <c r="C39" s="7">
        <v>245.45</v>
      </c>
      <c r="D39" s="7">
        <v>708.65</v>
      </c>
      <c r="E39" s="7">
        <v>216.39</v>
      </c>
      <c r="F39" s="7">
        <v>107.21</v>
      </c>
      <c r="G39" s="7">
        <v>385.8</v>
      </c>
      <c r="H39">
        <f t="shared" si="0"/>
        <v>0</v>
      </c>
      <c r="I39">
        <f t="shared" si="1"/>
        <v>-2.2479193397898306E-2</v>
      </c>
      <c r="J39">
        <f t="shared" si="2"/>
        <v>-1.248088000402643E-2</v>
      </c>
      <c r="K39">
        <f t="shared" si="3"/>
        <v>3.7966523983485531E-3</v>
      </c>
      <c r="L39">
        <f t="shared" si="4"/>
        <v>-1.6833545850142111E-2</v>
      </c>
      <c r="M39">
        <f t="shared" si="5"/>
        <v>2.3355401819283913E-3</v>
      </c>
    </row>
    <row r="40" spans="1:13" x14ac:dyDescent="0.2">
      <c r="A40" s="6">
        <v>45944</v>
      </c>
      <c r="B40" s="7">
        <v>188.31</v>
      </c>
      <c r="C40" s="7">
        <v>244.15</v>
      </c>
      <c r="D40" s="7">
        <v>715.7</v>
      </c>
      <c r="E40" s="7">
        <v>220.07</v>
      </c>
      <c r="F40" s="7">
        <v>102.12</v>
      </c>
      <c r="G40" s="7">
        <v>385.23</v>
      </c>
      <c r="H40">
        <f t="shared" si="0"/>
        <v>2.7456505094396958E-2</v>
      </c>
      <c r="I40">
        <f t="shared" si="1"/>
        <v>-5.3104699963921692E-3</v>
      </c>
      <c r="J40">
        <f t="shared" si="2"/>
        <v>9.8993331316375444E-3</v>
      </c>
      <c r="K40">
        <f t="shared" si="3"/>
        <v>1.686334237775269E-2</v>
      </c>
      <c r="L40">
        <f t="shared" si="4"/>
        <v>-4.8640935494865159E-2</v>
      </c>
      <c r="M40">
        <f t="shared" si="5"/>
        <v>-1.4785419603364246E-3</v>
      </c>
    </row>
    <row r="41" spans="1:13" x14ac:dyDescent="0.2">
      <c r="A41" s="6">
        <v>45943</v>
      </c>
      <c r="B41" s="7">
        <v>183.15</v>
      </c>
      <c r="C41" s="7">
        <v>236.57</v>
      </c>
      <c r="D41" s="7">
        <v>705.3</v>
      </c>
      <c r="E41" s="7">
        <v>216.37</v>
      </c>
      <c r="F41" s="7">
        <v>101.84</v>
      </c>
      <c r="G41" s="7">
        <v>376.93</v>
      </c>
      <c r="H41">
        <f t="shared" si="0"/>
        <v>-2.7784051772726671E-2</v>
      </c>
      <c r="I41">
        <f t="shared" si="1"/>
        <v>-3.1538643283353325E-2</v>
      </c>
      <c r="J41">
        <f t="shared" si="2"/>
        <v>-1.4637840530418438E-2</v>
      </c>
      <c r="K41">
        <f t="shared" si="3"/>
        <v>-1.6955772362105298E-2</v>
      </c>
      <c r="L41">
        <f t="shared" si="4"/>
        <v>-2.7456381241319646E-3</v>
      </c>
      <c r="M41">
        <f t="shared" si="5"/>
        <v>-2.1781064695849887E-2</v>
      </c>
    </row>
    <row r="42" spans="1:13" x14ac:dyDescent="0.2">
      <c r="A42" s="6">
        <v>45940</v>
      </c>
      <c r="B42" s="7">
        <v>192.56</v>
      </c>
      <c r="C42" s="7">
        <v>241.53</v>
      </c>
      <c r="D42" s="7">
        <v>733.51</v>
      </c>
      <c r="E42" s="7">
        <v>227.74</v>
      </c>
      <c r="F42" s="7">
        <v>101.77</v>
      </c>
      <c r="G42" s="7">
        <v>373.34</v>
      </c>
      <c r="H42">
        <f t="shared" si="0"/>
        <v>5.0102304249993138E-2</v>
      </c>
      <c r="I42">
        <f t="shared" si="1"/>
        <v>2.0749541755683196E-2</v>
      </c>
      <c r="J42">
        <f t="shared" si="2"/>
        <v>3.9217986541137909E-2</v>
      </c>
      <c r="K42">
        <f t="shared" si="3"/>
        <v>5.1214722183120814E-2</v>
      </c>
      <c r="L42">
        <f t="shared" si="4"/>
        <v>-6.8758904531100111E-4</v>
      </c>
      <c r="M42">
        <f t="shared" si="5"/>
        <v>-9.5699612109916756E-3</v>
      </c>
    </row>
    <row r="43" spans="1:13" x14ac:dyDescent="0.2">
      <c r="A43" s="6">
        <v>45939</v>
      </c>
      <c r="B43" s="7">
        <v>189.1</v>
      </c>
      <c r="C43" s="7">
        <v>244.62</v>
      </c>
      <c r="D43" s="7">
        <v>717.84</v>
      </c>
      <c r="E43" s="7">
        <v>225.22</v>
      </c>
      <c r="F43" s="7">
        <v>102.9</v>
      </c>
      <c r="G43" s="7">
        <v>375.26</v>
      </c>
      <c r="H43">
        <f t="shared" si="0"/>
        <v>-1.813181781040472E-2</v>
      </c>
      <c r="I43">
        <f t="shared" si="1"/>
        <v>1.2712297079217944E-2</v>
      </c>
      <c r="J43">
        <f t="shared" si="2"/>
        <v>-2.159452776546901E-2</v>
      </c>
      <c r="K43">
        <f t="shared" si="3"/>
        <v>-1.1126925113579539E-2</v>
      </c>
      <c r="L43">
        <f t="shared" si="4"/>
        <v>1.1042277636163941E-2</v>
      </c>
      <c r="M43">
        <f t="shared" si="5"/>
        <v>5.1295864547778458E-3</v>
      </c>
    </row>
    <row r="44" spans="1:13" x14ac:dyDescent="0.2">
      <c r="A44" s="6">
        <v>45938</v>
      </c>
      <c r="B44" s="7">
        <v>185.03</v>
      </c>
      <c r="C44" s="7">
        <v>245.76</v>
      </c>
      <c r="D44" s="7">
        <v>713.08</v>
      </c>
      <c r="E44" s="7">
        <v>221.78</v>
      </c>
      <c r="F44" s="7">
        <v>103.24</v>
      </c>
      <c r="G44" s="7">
        <v>381.32</v>
      </c>
      <c r="H44">
        <f t="shared" si="0"/>
        <v>-2.1758001570786969E-2</v>
      </c>
      <c r="I44">
        <f t="shared" si="1"/>
        <v>4.6494639000902354E-3</v>
      </c>
      <c r="J44">
        <f t="shared" si="2"/>
        <v>-6.6530869061414196E-3</v>
      </c>
      <c r="K44">
        <f t="shared" si="3"/>
        <v>-1.5391802743809737E-2</v>
      </c>
      <c r="L44">
        <f t="shared" si="4"/>
        <v>3.2987320104091275E-3</v>
      </c>
      <c r="M44">
        <f t="shared" si="5"/>
        <v>1.6019798566148959E-2</v>
      </c>
    </row>
    <row r="45" spans="1:13" x14ac:dyDescent="0.2">
      <c r="A45" s="6">
        <v>45937</v>
      </c>
      <c r="B45" s="7">
        <v>185.53</v>
      </c>
      <c r="C45" s="7">
        <v>250.43</v>
      </c>
      <c r="D45" s="7">
        <v>715.66</v>
      </c>
      <c r="E45" s="7">
        <v>220.9</v>
      </c>
      <c r="F45" s="7">
        <v>102.7</v>
      </c>
      <c r="G45" s="7">
        <v>384.32</v>
      </c>
      <c r="H45">
        <f t="shared" si="0"/>
        <v>2.6986199451616085E-3</v>
      </c>
      <c r="I45">
        <f t="shared" si="1"/>
        <v>1.882399039690354E-2</v>
      </c>
      <c r="J45">
        <f t="shared" si="2"/>
        <v>3.6115777599150145E-3</v>
      </c>
      <c r="K45">
        <f t="shared" si="3"/>
        <v>-3.9757890989983308E-3</v>
      </c>
      <c r="L45">
        <f t="shared" si="4"/>
        <v>-5.2442579159004792E-3</v>
      </c>
      <c r="M45">
        <f t="shared" si="5"/>
        <v>7.8366212662413625E-3</v>
      </c>
    </row>
    <row r="46" spans="1:13" x14ac:dyDescent="0.2">
      <c r="A46" s="6">
        <v>45936</v>
      </c>
      <c r="B46" s="7">
        <v>187.61</v>
      </c>
      <c r="C46" s="7">
        <v>245.35</v>
      </c>
      <c r="D46" s="7">
        <v>710.56</v>
      </c>
      <c r="E46" s="7">
        <v>219.51</v>
      </c>
      <c r="F46" s="7">
        <v>102.07</v>
      </c>
      <c r="G46" s="7">
        <v>386.83</v>
      </c>
      <c r="H46">
        <f t="shared" si="0"/>
        <v>1.114874601673331E-2</v>
      </c>
      <c r="I46">
        <f t="shared" si="1"/>
        <v>-2.0493677820298407E-2</v>
      </c>
      <c r="J46">
        <f t="shared" si="2"/>
        <v>-7.1518022997838744E-3</v>
      </c>
      <c r="K46">
        <f t="shared" si="3"/>
        <v>-6.3123208620232546E-3</v>
      </c>
      <c r="L46">
        <f t="shared" si="4"/>
        <v>-6.1532645191055757E-3</v>
      </c>
      <c r="M46">
        <f t="shared" si="5"/>
        <v>6.5097811421953988E-3</v>
      </c>
    </row>
    <row r="47" spans="1:13" x14ac:dyDescent="0.2">
      <c r="A47" s="6">
        <v>45933</v>
      </c>
      <c r="B47" s="7">
        <v>188.88</v>
      </c>
      <c r="C47" s="7">
        <v>245.69</v>
      </c>
      <c r="D47" s="7">
        <v>727.05</v>
      </c>
      <c r="E47" s="7">
        <v>222.41</v>
      </c>
      <c r="F47" s="7">
        <v>101.7</v>
      </c>
      <c r="G47" s="7">
        <v>392.52</v>
      </c>
      <c r="H47">
        <f t="shared" si="0"/>
        <v>6.7465527217378442E-3</v>
      </c>
      <c r="I47">
        <f t="shared" si="1"/>
        <v>1.3848161222517845E-3</v>
      </c>
      <c r="J47">
        <f t="shared" si="2"/>
        <v>2.2941859415702523E-2</v>
      </c>
      <c r="K47">
        <f t="shared" si="3"/>
        <v>1.3124735830304393E-2</v>
      </c>
      <c r="L47">
        <f t="shared" si="4"/>
        <v>-3.6315493608926972E-3</v>
      </c>
      <c r="M47">
        <f t="shared" si="5"/>
        <v>1.4602171304478667E-2</v>
      </c>
    </row>
    <row r="48" spans="1:13" x14ac:dyDescent="0.2">
      <c r="A48" s="6">
        <v>45932</v>
      </c>
      <c r="B48" s="7">
        <v>187.23</v>
      </c>
      <c r="C48" s="7">
        <v>244.9</v>
      </c>
      <c r="D48" s="7">
        <v>717.34</v>
      </c>
      <c r="E48" s="7">
        <v>220.63</v>
      </c>
      <c r="F48" s="7">
        <v>101.96</v>
      </c>
      <c r="G48" s="7">
        <v>392.47</v>
      </c>
      <c r="H48">
        <f t="shared" si="0"/>
        <v>-8.7740851631961832E-3</v>
      </c>
      <c r="I48">
        <f t="shared" si="1"/>
        <v>-3.2206147000421719E-3</v>
      </c>
      <c r="J48">
        <f t="shared" si="2"/>
        <v>-1.344532470881778E-2</v>
      </c>
      <c r="K48">
        <f t="shared" si="3"/>
        <v>-8.035435074072398E-3</v>
      </c>
      <c r="L48">
        <f t="shared" si="4"/>
        <v>2.5532764534003656E-3</v>
      </c>
      <c r="M48">
        <f t="shared" si="5"/>
        <v>-1.2739015800854555E-4</v>
      </c>
    </row>
    <row r="49" spans="1:13" x14ac:dyDescent="0.2">
      <c r="A49" s="6">
        <v>45931</v>
      </c>
      <c r="B49" s="7">
        <v>186.57</v>
      </c>
      <c r="C49" s="7">
        <v>243.1</v>
      </c>
      <c r="D49" s="7">
        <v>734.38</v>
      </c>
      <c r="E49" s="7">
        <v>219.57</v>
      </c>
      <c r="F49" s="7">
        <v>103.06</v>
      </c>
      <c r="G49" s="7">
        <v>394.47</v>
      </c>
      <c r="H49">
        <f t="shared" si="0"/>
        <v>-3.5313038301537348E-3</v>
      </c>
      <c r="I49">
        <f t="shared" si="1"/>
        <v>-7.377082636044455E-3</v>
      </c>
      <c r="J49">
        <f t="shared" si="2"/>
        <v>2.3476679569307556E-2</v>
      </c>
      <c r="K49">
        <f t="shared" si="3"/>
        <v>-4.8160020390347882E-3</v>
      </c>
      <c r="L49">
        <f t="shared" si="4"/>
        <v>1.0730763392163665E-2</v>
      </c>
      <c r="M49">
        <f t="shared" si="5"/>
        <v>5.0829905866529371E-3</v>
      </c>
    </row>
    <row r="50" spans="1:13" x14ac:dyDescent="0.2">
      <c r="A50" s="6">
        <v>45930</v>
      </c>
      <c r="B50" s="7">
        <v>181.84</v>
      </c>
      <c r="C50" s="7">
        <v>244.05</v>
      </c>
      <c r="D50" s="7">
        <v>743.4</v>
      </c>
      <c r="E50" s="7">
        <v>222.17</v>
      </c>
      <c r="F50" s="7">
        <v>103.08</v>
      </c>
      <c r="G50" s="7">
        <v>402.59</v>
      </c>
      <c r="H50">
        <f t="shared" si="0"/>
        <v>-2.567932423961982E-2</v>
      </c>
      <c r="I50">
        <f t="shared" si="1"/>
        <v>3.9002410110788865E-3</v>
      </c>
      <c r="J50">
        <f t="shared" si="2"/>
        <v>1.2207652043167354E-2</v>
      </c>
      <c r="K50">
        <f t="shared" si="3"/>
        <v>1.1771766307790728E-2</v>
      </c>
      <c r="L50">
        <f t="shared" si="4"/>
        <v>1.9404288408608685E-4</v>
      </c>
      <c r="M50">
        <f t="shared" si="5"/>
        <v>2.0375582580843269E-2</v>
      </c>
    </row>
    <row r="51" spans="1:13" x14ac:dyDescent="0.2">
      <c r="A51" s="6">
        <v>45929</v>
      </c>
      <c r="B51" s="7">
        <v>178.18</v>
      </c>
      <c r="C51" s="7">
        <v>246.54</v>
      </c>
      <c r="D51" s="7">
        <v>743.75</v>
      </c>
      <c r="E51" s="7">
        <v>219.78</v>
      </c>
      <c r="F51" s="7">
        <v>103.16</v>
      </c>
      <c r="G51" s="7">
        <v>404.19</v>
      </c>
      <c r="H51">
        <f t="shared" si="0"/>
        <v>-2.0332904251790046E-2</v>
      </c>
      <c r="I51">
        <f t="shared" si="1"/>
        <v>1.0151129790216878E-2</v>
      </c>
      <c r="J51">
        <f t="shared" si="2"/>
        <v>4.7069899668770126E-4</v>
      </c>
      <c r="K51">
        <f t="shared" si="3"/>
        <v>-1.0815808570258241E-2</v>
      </c>
      <c r="L51">
        <f t="shared" si="4"/>
        <v>7.7579522897979153E-4</v>
      </c>
      <c r="M51">
        <f t="shared" si="5"/>
        <v>3.9663900880856527E-3</v>
      </c>
    </row>
    <row r="52" spans="1:13" x14ac:dyDescent="0.2">
      <c r="A52" s="6">
        <v>45926</v>
      </c>
      <c r="B52" s="7">
        <v>177.68</v>
      </c>
      <c r="C52" s="7">
        <v>245.79</v>
      </c>
      <c r="D52" s="7">
        <v>748.91</v>
      </c>
      <c r="E52" s="7">
        <v>218.15</v>
      </c>
      <c r="F52" s="7">
        <v>103.05</v>
      </c>
      <c r="G52" s="7">
        <v>407.45</v>
      </c>
      <c r="H52">
        <f t="shared" si="0"/>
        <v>-2.8100957063256792E-3</v>
      </c>
      <c r="I52">
        <f t="shared" si="1"/>
        <v>-3.0467393015403258E-3</v>
      </c>
      <c r="J52">
        <f t="shared" si="2"/>
        <v>6.9138592239449603E-3</v>
      </c>
      <c r="K52">
        <f t="shared" si="3"/>
        <v>-7.4441464491593204E-3</v>
      </c>
      <c r="L52">
        <f t="shared" si="4"/>
        <v>-1.0668736766759395E-3</v>
      </c>
      <c r="M52">
        <f t="shared" si="5"/>
        <v>8.0331613303626492E-3</v>
      </c>
    </row>
    <row r="53" spans="1:13" x14ac:dyDescent="0.2">
      <c r="A53" s="6">
        <v>45925</v>
      </c>
      <c r="B53" s="7">
        <v>176.96</v>
      </c>
      <c r="C53" s="7">
        <v>247.14</v>
      </c>
      <c r="D53" s="7">
        <v>760.66</v>
      </c>
      <c r="E53" s="7">
        <v>220.21</v>
      </c>
      <c r="F53" s="7">
        <v>102.73</v>
      </c>
      <c r="G53" s="7">
        <v>404.83</v>
      </c>
      <c r="H53">
        <f t="shared" si="0"/>
        <v>-4.060461252201969E-3</v>
      </c>
      <c r="I53">
        <f t="shared" si="1"/>
        <v>5.4774648542113488E-3</v>
      </c>
      <c r="J53">
        <f t="shared" si="2"/>
        <v>1.5567661389827429E-2</v>
      </c>
      <c r="K53">
        <f t="shared" si="3"/>
        <v>9.398736948482176E-3</v>
      </c>
      <c r="L53">
        <f t="shared" si="4"/>
        <v>-3.110120108295688E-3</v>
      </c>
      <c r="M53">
        <f t="shared" si="5"/>
        <v>-6.4509998670964916E-3</v>
      </c>
    </row>
    <row r="54" spans="1:13" x14ac:dyDescent="0.2">
      <c r="A54" s="6">
        <v>45924</v>
      </c>
      <c r="B54" s="7">
        <v>178.42</v>
      </c>
      <c r="C54" s="7">
        <v>251.66</v>
      </c>
      <c r="D54" s="7">
        <v>755.4</v>
      </c>
      <c r="E54" s="7">
        <v>220.71</v>
      </c>
      <c r="F54" s="7">
        <v>102.52</v>
      </c>
      <c r="G54" s="7">
        <v>407.14</v>
      </c>
      <c r="H54">
        <f t="shared" si="0"/>
        <v>8.2166031516672997E-3</v>
      </c>
      <c r="I54">
        <f t="shared" si="1"/>
        <v>1.812399248777757E-2</v>
      </c>
      <c r="J54">
        <f t="shared" si="2"/>
        <v>-6.939067195255509E-3</v>
      </c>
      <c r="K54">
        <f t="shared" si="3"/>
        <v>2.2679860941819609E-3</v>
      </c>
      <c r="L54">
        <f t="shared" si="4"/>
        <v>-2.0462857323020455E-3</v>
      </c>
      <c r="M54">
        <f t="shared" si="5"/>
        <v>5.6898807397677657E-3</v>
      </c>
    </row>
    <row r="55" spans="1:13" x14ac:dyDescent="0.2">
      <c r="A55" s="6">
        <v>45922</v>
      </c>
      <c r="B55" s="7">
        <v>176.66</v>
      </c>
      <c r="C55" s="7">
        <v>254.72</v>
      </c>
      <c r="D55" s="7">
        <v>765.16</v>
      </c>
      <c r="E55" s="7">
        <v>231.48</v>
      </c>
      <c r="F55" s="7">
        <v>102.33</v>
      </c>
      <c r="G55" s="7">
        <v>409.35</v>
      </c>
      <c r="H55">
        <f t="shared" si="0"/>
        <v>-9.9133401686511569E-3</v>
      </c>
      <c r="I55">
        <f t="shared" si="1"/>
        <v>1.2085932492196267E-2</v>
      </c>
      <c r="J55">
        <f t="shared" si="2"/>
        <v>1.2837552006096301E-2</v>
      </c>
      <c r="K55">
        <f t="shared" si="3"/>
        <v>4.7643854093355205E-2</v>
      </c>
      <c r="L55">
        <f t="shared" si="4"/>
        <v>-1.8550163972062578E-3</v>
      </c>
      <c r="M55">
        <f t="shared" si="5"/>
        <v>5.4134291835571191E-3</v>
      </c>
    </row>
    <row r="56" spans="1:13" x14ac:dyDescent="0.2">
      <c r="A56" s="6">
        <v>45919</v>
      </c>
      <c r="B56" s="7">
        <v>176.23</v>
      </c>
      <c r="C56" s="7">
        <v>252.03</v>
      </c>
      <c r="D56" s="7">
        <v>777.85</v>
      </c>
      <c r="E56" s="7">
        <v>231.23</v>
      </c>
      <c r="F56" s="7">
        <v>103.6</v>
      </c>
      <c r="G56" s="7">
        <v>413.02</v>
      </c>
      <c r="H56">
        <f t="shared" si="0"/>
        <v>-2.4370212407081515E-3</v>
      </c>
      <c r="I56">
        <f t="shared" si="1"/>
        <v>-1.061677461115273E-2</v>
      </c>
      <c r="J56">
        <f t="shared" si="2"/>
        <v>1.644874124867779E-2</v>
      </c>
      <c r="K56">
        <f t="shared" si="3"/>
        <v>-1.0805905397617591E-3</v>
      </c>
      <c r="L56">
        <f t="shared" si="4"/>
        <v>1.233444472671867E-2</v>
      </c>
      <c r="M56">
        <f t="shared" si="5"/>
        <v>8.9254821161883196E-3</v>
      </c>
    </row>
    <row r="57" spans="1:13" x14ac:dyDescent="0.2">
      <c r="A57" s="6">
        <v>45918</v>
      </c>
      <c r="B57" s="7">
        <v>170.28</v>
      </c>
      <c r="C57" s="7">
        <v>249.53</v>
      </c>
      <c r="D57" s="7">
        <v>779.72</v>
      </c>
      <c r="E57" s="7">
        <v>231.62</v>
      </c>
      <c r="F57" s="7">
        <v>104.27</v>
      </c>
      <c r="G57" s="7">
        <v>414.8</v>
      </c>
      <c r="H57">
        <f t="shared" si="0"/>
        <v>-3.4345819116326337E-2</v>
      </c>
      <c r="I57">
        <f t="shared" si="1"/>
        <v>-9.968979600637402E-3</v>
      </c>
      <c r="J57">
        <f t="shared" si="2"/>
        <v>2.4011773448138294E-3</v>
      </c>
      <c r="K57">
        <f t="shared" si="3"/>
        <v>1.6852115903554575E-3</v>
      </c>
      <c r="L57">
        <f t="shared" si="4"/>
        <v>6.4463589761191093E-3</v>
      </c>
      <c r="M57">
        <f t="shared" si="5"/>
        <v>4.3004584167266168E-3</v>
      </c>
    </row>
    <row r="58" spans="1:13" x14ac:dyDescent="0.2">
      <c r="A58" s="6">
        <v>45917</v>
      </c>
      <c r="B58" s="7">
        <v>174.87</v>
      </c>
      <c r="C58" s="7">
        <v>251.16</v>
      </c>
      <c r="D58" s="7">
        <v>775.2</v>
      </c>
      <c r="E58" s="7">
        <v>234.05</v>
      </c>
      <c r="F58" s="7">
        <v>103.42</v>
      </c>
      <c r="G58" s="7">
        <v>414.32</v>
      </c>
      <c r="H58">
        <f t="shared" si="0"/>
        <v>2.6598699765616528E-2</v>
      </c>
      <c r="I58">
        <f t="shared" si="1"/>
        <v>6.5110378016805942E-3</v>
      </c>
      <c r="J58">
        <f t="shared" si="2"/>
        <v>-5.813820301387722E-3</v>
      </c>
      <c r="K58">
        <f t="shared" si="3"/>
        <v>1.0436669989848008E-2</v>
      </c>
      <c r="L58">
        <f t="shared" si="4"/>
        <v>-8.1853218334263025E-3</v>
      </c>
      <c r="M58">
        <f t="shared" si="5"/>
        <v>-1.1578542397363124E-3</v>
      </c>
    </row>
    <row r="59" spans="1:13" x14ac:dyDescent="0.2">
      <c r="A59" s="6">
        <v>45916</v>
      </c>
      <c r="B59" s="7">
        <v>177.74</v>
      </c>
      <c r="C59" s="7">
        <v>251.61</v>
      </c>
      <c r="D59" s="7">
        <v>778.47</v>
      </c>
      <c r="E59" s="7">
        <v>231.43</v>
      </c>
      <c r="F59" s="7">
        <v>103.69</v>
      </c>
      <c r="G59" s="7">
        <v>418.74</v>
      </c>
      <c r="H59">
        <f t="shared" si="0"/>
        <v>1.6278967584761026E-2</v>
      </c>
      <c r="I59">
        <f t="shared" si="1"/>
        <v>1.7900834185211865E-3</v>
      </c>
      <c r="J59">
        <f t="shared" si="2"/>
        <v>4.2093943095073477E-3</v>
      </c>
      <c r="K59">
        <f t="shared" si="3"/>
        <v>-1.125731575450882E-2</v>
      </c>
      <c r="L59">
        <f t="shared" si="4"/>
        <v>2.6073116021113315E-3</v>
      </c>
      <c r="M59">
        <f t="shared" si="5"/>
        <v>1.0611580141479379E-2</v>
      </c>
    </row>
    <row r="60" spans="1:13" x14ac:dyDescent="0.2">
      <c r="A60" s="6">
        <v>45915</v>
      </c>
      <c r="B60" s="7">
        <v>177.81</v>
      </c>
      <c r="C60" s="7">
        <v>240.8</v>
      </c>
      <c r="D60" s="7">
        <v>764.18</v>
      </c>
      <c r="E60" s="7">
        <v>228.15</v>
      </c>
      <c r="F60" s="7">
        <v>103.49</v>
      </c>
      <c r="G60" s="7">
        <v>419.99</v>
      </c>
      <c r="H60">
        <f t="shared" si="0"/>
        <v>3.9375615752723837E-4</v>
      </c>
      <c r="I60">
        <f t="shared" si="1"/>
        <v>-4.3913556229763874E-2</v>
      </c>
      <c r="J60">
        <f t="shared" si="2"/>
        <v>-1.8527091375117568E-2</v>
      </c>
      <c r="K60">
        <f t="shared" si="3"/>
        <v>-1.4274144618159226E-2</v>
      </c>
      <c r="L60">
        <f t="shared" si="4"/>
        <v>-1.9306888901051518E-3</v>
      </c>
      <c r="M60">
        <f t="shared" si="5"/>
        <v>2.9806992130379994E-3</v>
      </c>
    </row>
    <row r="61" spans="1:13" x14ac:dyDescent="0.2">
      <c r="A61" s="6">
        <v>45911</v>
      </c>
      <c r="B61" s="7">
        <v>177.16</v>
      </c>
      <c r="C61" s="7">
        <v>240.37</v>
      </c>
      <c r="D61" s="7">
        <v>755.08</v>
      </c>
      <c r="E61" s="7">
        <v>229.95</v>
      </c>
      <c r="F61" s="7">
        <v>102.65</v>
      </c>
      <c r="G61" s="7">
        <v>419.97</v>
      </c>
      <c r="H61">
        <f t="shared" si="0"/>
        <v>-3.6622854128591201E-3</v>
      </c>
      <c r="I61">
        <f t="shared" si="1"/>
        <v>-1.7873105740957515E-3</v>
      </c>
      <c r="J61">
        <f t="shared" si="2"/>
        <v>-1.197965961041334E-2</v>
      </c>
      <c r="K61">
        <f t="shared" si="3"/>
        <v>7.8585866125210901E-3</v>
      </c>
      <c r="L61">
        <f t="shared" si="4"/>
        <v>-8.1498462151390356E-3</v>
      </c>
      <c r="M61">
        <f t="shared" si="5"/>
        <v>-4.7621315309731643E-5</v>
      </c>
    </row>
    <row r="62" spans="1:13" x14ac:dyDescent="0.2">
      <c r="A62" s="6">
        <v>45911</v>
      </c>
      <c r="B62" s="7">
        <v>177.31</v>
      </c>
      <c r="C62" s="7">
        <v>239.17</v>
      </c>
      <c r="D62" s="7">
        <v>750.39</v>
      </c>
      <c r="E62" s="7">
        <v>230.33</v>
      </c>
      <c r="F62" s="7">
        <v>100.41</v>
      </c>
      <c r="G62" s="7">
        <v>420.7</v>
      </c>
      <c r="H62">
        <f t="shared" si="0"/>
        <v>8.4633401389985481E-4</v>
      </c>
      <c r="I62">
        <f t="shared" si="1"/>
        <v>-5.0048067097968546E-3</v>
      </c>
      <c r="J62">
        <f t="shared" si="2"/>
        <v>-6.2306325233258643E-3</v>
      </c>
      <c r="K62">
        <f t="shared" si="3"/>
        <v>1.6511692288813742E-3</v>
      </c>
      <c r="L62">
        <f t="shared" si="4"/>
        <v>-2.206333957359774E-2</v>
      </c>
      <c r="M62">
        <f t="shared" si="5"/>
        <v>1.7367104416316579E-3</v>
      </c>
    </row>
    <row r="63" spans="1:13" x14ac:dyDescent="0.2">
      <c r="A63" s="6">
        <v>45910</v>
      </c>
      <c r="B63" s="7">
        <v>170.74</v>
      </c>
      <c r="C63" s="7">
        <v>239.63</v>
      </c>
      <c r="D63" s="7">
        <v>751.47</v>
      </c>
      <c r="E63" s="7">
        <v>238.24</v>
      </c>
      <c r="F63" s="7">
        <v>102.29</v>
      </c>
      <c r="G63" s="7">
        <v>410.57</v>
      </c>
      <c r="H63">
        <f t="shared" si="0"/>
        <v>-3.7757681486736812E-2</v>
      </c>
      <c r="I63">
        <f t="shared" si="1"/>
        <v>1.9214709337033594E-3</v>
      </c>
      <c r="J63">
        <f t="shared" si="2"/>
        <v>1.4382168593106291E-3</v>
      </c>
      <c r="K63">
        <f t="shared" si="3"/>
        <v>3.3765505720884839E-2</v>
      </c>
      <c r="L63">
        <f t="shared" si="4"/>
        <v>1.8550112577571231E-2</v>
      </c>
      <c r="M63">
        <f t="shared" si="5"/>
        <v>-2.4373552489992022E-2</v>
      </c>
    </row>
    <row r="64" spans="1:13" x14ac:dyDescent="0.2">
      <c r="A64" s="6">
        <v>45908</v>
      </c>
      <c r="B64" s="7">
        <v>167</v>
      </c>
      <c r="C64" s="7">
        <v>234.04</v>
      </c>
      <c r="D64" s="7">
        <v>751.79</v>
      </c>
      <c r="E64" s="7">
        <v>232.33</v>
      </c>
      <c r="F64" s="7">
        <v>100.51</v>
      </c>
      <c r="G64" s="7">
        <v>417.24</v>
      </c>
      <c r="H64">
        <f t="shared" si="0"/>
        <v>-2.2148119165405256E-2</v>
      </c>
      <c r="I64">
        <f t="shared" si="1"/>
        <v>-2.3604026164441471E-2</v>
      </c>
      <c r="J64">
        <f t="shared" si="2"/>
        <v>4.2574139514583244E-4</v>
      </c>
      <c r="K64">
        <f t="shared" si="3"/>
        <v>-2.5119794148502239E-2</v>
      </c>
      <c r="L64">
        <f t="shared" si="4"/>
        <v>-1.7554691432267566E-2</v>
      </c>
      <c r="M64">
        <f t="shared" si="5"/>
        <v>1.6115157701287242E-2</v>
      </c>
    </row>
    <row r="65" spans="1:13" x14ac:dyDescent="0.2">
      <c r="A65" s="6">
        <v>45905</v>
      </c>
      <c r="B65" s="7">
        <v>171.64</v>
      </c>
      <c r="C65" s="7">
        <v>234.79</v>
      </c>
      <c r="D65" s="7">
        <v>751.94</v>
      </c>
      <c r="E65" s="7">
        <v>235.68</v>
      </c>
      <c r="F65" s="7">
        <v>100.93</v>
      </c>
      <c r="G65" s="7">
        <v>416.26</v>
      </c>
      <c r="H65">
        <f t="shared" si="0"/>
        <v>2.740544770656874E-2</v>
      </c>
      <c r="I65">
        <f t="shared" si="1"/>
        <v>3.1994566891307354E-3</v>
      </c>
      <c r="J65">
        <f t="shared" si="2"/>
        <v>1.9950390096302E-4</v>
      </c>
      <c r="K65">
        <f t="shared" si="3"/>
        <v>1.4316177927123461E-2</v>
      </c>
      <c r="L65">
        <f t="shared" si="4"/>
        <v>4.1699822141197792E-3</v>
      </c>
      <c r="M65">
        <f t="shared" si="5"/>
        <v>-2.351530777665044E-3</v>
      </c>
    </row>
    <row r="66" spans="1:13" x14ac:dyDescent="0.2">
      <c r="A66" s="6">
        <v>45904</v>
      </c>
      <c r="B66" s="7">
        <v>170.6</v>
      </c>
      <c r="C66" s="7">
        <v>232.09</v>
      </c>
      <c r="D66" s="7">
        <v>748.15</v>
      </c>
      <c r="E66" s="7">
        <v>225.99</v>
      </c>
      <c r="F66" s="7">
        <v>99.44</v>
      </c>
      <c r="G66" s="7">
        <v>409.04</v>
      </c>
      <c r="H66">
        <f t="shared" si="0"/>
        <v>-6.0776250657451165E-3</v>
      </c>
      <c r="I66">
        <f t="shared" si="1"/>
        <v>-1.1566270134162808E-2</v>
      </c>
      <c r="J66">
        <f t="shared" si="2"/>
        <v>-5.0530409031982922E-3</v>
      </c>
      <c r="K66">
        <f t="shared" si="3"/>
        <v>-4.1984202208607047E-2</v>
      </c>
      <c r="L66">
        <f t="shared" si="4"/>
        <v>-1.4872760048312518E-2</v>
      </c>
      <c r="M66">
        <f t="shared" si="5"/>
        <v>-1.7497114258361441E-2</v>
      </c>
    </row>
    <row r="67" spans="1:13" x14ac:dyDescent="0.2">
      <c r="A67" s="6">
        <v>45902</v>
      </c>
      <c r="B67" s="7">
        <v>174.16</v>
      </c>
      <c r="C67" s="7">
        <v>211.16</v>
      </c>
      <c r="D67" s="7">
        <v>734.61</v>
      </c>
      <c r="E67" s="7">
        <v>229</v>
      </c>
      <c r="F67" s="7">
        <v>96.98</v>
      </c>
      <c r="G67" s="7">
        <v>402.8</v>
      </c>
      <c r="H67">
        <f t="shared" si="0"/>
        <v>2.0652781868713169E-2</v>
      </c>
      <c r="I67">
        <f t="shared" si="1"/>
        <v>-9.4509087519587864E-2</v>
      </c>
      <c r="J67">
        <f t="shared" si="2"/>
        <v>-1.8263746485984507E-2</v>
      </c>
      <c r="K67">
        <f t="shared" si="3"/>
        <v>1.3231253048526617E-2</v>
      </c>
      <c r="L67">
        <f t="shared" si="4"/>
        <v>-2.5049675525249438E-2</v>
      </c>
      <c r="M67">
        <f t="shared" si="5"/>
        <v>-1.5372789927336639E-2</v>
      </c>
    </row>
    <row r="68" spans="1:13" x14ac:dyDescent="0.2">
      <c r="A68" s="6">
        <v>45898</v>
      </c>
      <c r="B68" s="7">
        <v>180.15</v>
      </c>
      <c r="C68" s="7">
        <v>212.72</v>
      </c>
      <c r="D68" s="7">
        <v>738.2</v>
      </c>
      <c r="E68" s="7">
        <v>231.6</v>
      </c>
      <c r="F68" s="7">
        <v>96.11</v>
      </c>
      <c r="G68" s="7">
        <v>401.42</v>
      </c>
      <c r="H68">
        <f t="shared" ref="H68:H131" si="6">LN(B68/B67)</f>
        <v>3.3815420267810384E-2</v>
      </c>
      <c r="I68">
        <f t="shared" ref="I68:I131" si="7">LN(C68/C67)</f>
        <v>7.3606069793489427E-3</v>
      </c>
      <c r="J68">
        <f t="shared" ref="J68:J131" si="8">LN(D68/D67)</f>
        <v>4.8750444524543806E-3</v>
      </c>
      <c r="K68">
        <f t="shared" ref="K68:K131" si="9">LN(E68/E67)</f>
        <v>1.1289742144600533E-2</v>
      </c>
      <c r="L68">
        <f t="shared" ref="L68:L131" si="10">LN(F68/F67)</f>
        <v>-9.0114028420132993E-3</v>
      </c>
      <c r="M68">
        <f t="shared" ref="M68:M131" si="11">LN(G68/G67)</f>
        <v>-3.4319001130602013E-3</v>
      </c>
    </row>
    <row r="69" spans="1:13" x14ac:dyDescent="0.2">
      <c r="A69" s="6">
        <v>45897</v>
      </c>
      <c r="B69" s="7">
        <v>181.58</v>
      </c>
      <c r="C69" s="7">
        <v>211.45</v>
      </c>
      <c r="D69" s="7">
        <v>750.6</v>
      </c>
      <c r="E69" s="7">
        <v>229.12</v>
      </c>
      <c r="F69" s="7">
        <v>96.08</v>
      </c>
      <c r="G69" s="7">
        <v>401.88</v>
      </c>
      <c r="H69">
        <f t="shared" si="6"/>
        <v>7.9064907495089935E-3</v>
      </c>
      <c r="I69">
        <f t="shared" si="7"/>
        <v>-5.9881830162668145E-3</v>
      </c>
      <c r="J69">
        <f t="shared" si="8"/>
        <v>1.6658096105022332E-2</v>
      </c>
      <c r="K69">
        <f t="shared" si="9"/>
        <v>-1.0765861926559326E-2</v>
      </c>
      <c r="L69">
        <f t="shared" si="10"/>
        <v>-3.121910634649416E-4</v>
      </c>
      <c r="M69">
        <f t="shared" si="11"/>
        <v>1.1452758627664048E-3</v>
      </c>
    </row>
    <row r="70" spans="1:13" x14ac:dyDescent="0.2">
      <c r="A70" s="6">
        <v>45896</v>
      </c>
      <c r="B70" s="7">
        <v>181.75</v>
      </c>
      <c r="C70" s="7">
        <v>207.29</v>
      </c>
      <c r="D70" s="7">
        <v>746.88</v>
      </c>
      <c r="E70" s="7">
        <v>228.71</v>
      </c>
      <c r="F70" s="7">
        <v>96.05</v>
      </c>
      <c r="G70" s="7">
        <v>402.55</v>
      </c>
      <c r="H70">
        <f t="shared" si="6"/>
        <v>9.3578847001753662E-4</v>
      </c>
      <c r="I70">
        <f t="shared" si="7"/>
        <v>-1.9869784907077647E-2</v>
      </c>
      <c r="J70">
        <f t="shared" si="8"/>
        <v>-4.9683570427839678E-3</v>
      </c>
      <c r="K70">
        <f t="shared" si="9"/>
        <v>-1.7910582950130094E-3</v>
      </c>
      <c r="L70">
        <f t="shared" si="10"/>
        <v>-3.1228855716250952E-4</v>
      </c>
      <c r="M70">
        <f t="shared" si="11"/>
        <v>1.6657761518762339E-3</v>
      </c>
    </row>
    <row r="71" spans="1:13" x14ac:dyDescent="0.2">
      <c r="A71" s="6">
        <v>45895</v>
      </c>
      <c r="B71" s="7">
        <v>179.79</v>
      </c>
      <c r="C71" s="7">
        <v>206.95</v>
      </c>
      <c r="D71" s="7">
        <v>753.59</v>
      </c>
      <c r="E71" s="7">
        <v>227.94</v>
      </c>
      <c r="F71" s="7">
        <v>96.07</v>
      </c>
      <c r="G71" s="7">
        <v>403.33</v>
      </c>
      <c r="H71">
        <f t="shared" si="6"/>
        <v>-1.0842613275425213E-2</v>
      </c>
      <c r="I71">
        <f t="shared" si="7"/>
        <v>-1.6415608166784766E-3</v>
      </c>
      <c r="J71">
        <f t="shared" si="8"/>
        <v>8.9439238769086094E-3</v>
      </c>
      <c r="K71">
        <f t="shared" si="9"/>
        <v>-3.3723890496786938E-3</v>
      </c>
      <c r="L71">
        <f t="shared" si="10"/>
        <v>2.0820320708140358E-4</v>
      </c>
      <c r="M71">
        <f t="shared" si="11"/>
        <v>1.9357726797264981E-3</v>
      </c>
    </row>
    <row r="72" spans="1:13" x14ac:dyDescent="0.2">
      <c r="A72" s="6">
        <v>45894</v>
      </c>
      <c r="B72" s="7">
        <v>177.97</v>
      </c>
      <c r="C72" s="7">
        <v>208.3</v>
      </c>
      <c r="D72" s="7">
        <v>752.79</v>
      </c>
      <c r="E72" s="7">
        <v>228.84</v>
      </c>
      <c r="F72" s="7">
        <v>96.83</v>
      </c>
      <c r="G72" s="7">
        <v>402.64</v>
      </c>
      <c r="H72">
        <f t="shared" si="6"/>
        <v>-1.0174506376309326E-2</v>
      </c>
      <c r="I72">
        <f t="shared" si="7"/>
        <v>6.5021300721849777E-3</v>
      </c>
      <c r="J72">
        <f t="shared" si="8"/>
        <v>-1.0621490928062948E-3</v>
      </c>
      <c r="K72">
        <f t="shared" si="9"/>
        <v>3.9406329727388221E-3</v>
      </c>
      <c r="L72">
        <f t="shared" si="10"/>
        <v>7.8797712017925816E-3</v>
      </c>
      <c r="M72">
        <f t="shared" si="11"/>
        <v>-1.7122229576117826E-3</v>
      </c>
    </row>
    <row r="73" spans="1:13" x14ac:dyDescent="0.2">
      <c r="A73" s="6">
        <v>45891</v>
      </c>
      <c r="B73" s="7">
        <v>174.96</v>
      </c>
      <c r="C73" s="7">
        <v>205.91</v>
      </c>
      <c r="D73" s="7">
        <v>754.28</v>
      </c>
      <c r="E73" s="7">
        <v>221.95</v>
      </c>
      <c r="F73" s="7">
        <v>97.96</v>
      </c>
      <c r="G73" s="7">
        <v>403.98</v>
      </c>
      <c r="H73">
        <f t="shared" si="6"/>
        <v>-1.7057620393381805E-2</v>
      </c>
      <c r="I73">
        <f t="shared" si="7"/>
        <v>-1.1540168146871161E-2</v>
      </c>
      <c r="J73">
        <f t="shared" si="8"/>
        <v>1.9773474164830078E-3</v>
      </c>
      <c r="K73">
        <f t="shared" si="9"/>
        <v>-3.0570938120283827E-2</v>
      </c>
      <c r="L73">
        <f t="shared" si="10"/>
        <v>1.1602368460527212E-2</v>
      </c>
      <c r="M73">
        <f t="shared" si="11"/>
        <v>3.3225093171400117E-3</v>
      </c>
    </row>
    <row r="74" spans="1:13" x14ac:dyDescent="0.2">
      <c r="A74" s="6">
        <v>45890</v>
      </c>
      <c r="B74" s="7">
        <v>175.38</v>
      </c>
      <c r="C74" s="7">
        <v>199.57</v>
      </c>
      <c r="D74" s="7">
        <v>738.6</v>
      </c>
      <c r="E74" s="7">
        <v>223.81</v>
      </c>
      <c r="F74" s="7">
        <v>102.57</v>
      </c>
      <c r="G74" s="7">
        <v>407.82</v>
      </c>
      <c r="H74">
        <f t="shared" si="6"/>
        <v>2.3976719826972067E-3</v>
      </c>
      <c r="I74">
        <f t="shared" si="7"/>
        <v>-3.1274128140161332E-2</v>
      </c>
      <c r="J74">
        <f t="shared" si="8"/>
        <v>-2.1007149440258964E-2</v>
      </c>
      <c r="K74">
        <f t="shared" si="9"/>
        <v>8.3453463519937536E-3</v>
      </c>
      <c r="L74">
        <f t="shared" si="10"/>
        <v>4.5986260235352634E-2</v>
      </c>
      <c r="M74">
        <f t="shared" si="11"/>
        <v>9.4605288013571796E-3</v>
      </c>
    </row>
    <row r="75" spans="1:13" x14ac:dyDescent="0.2">
      <c r="A75" s="6">
        <v>45889</v>
      </c>
      <c r="B75" s="7">
        <v>175.62</v>
      </c>
      <c r="C75" s="7">
        <v>199.14</v>
      </c>
      <c r="D75" s="7">
        <v>747.22</v>
      </c>
      <c r="E75" s="7">
        <v>228.01</v>
      </c>
      <c r="F75" s="7">
        <v>101.29</v>
      </c>
      <c r="G75" s="7">
        <v>392.92</v>
      </c>
      <c r="H75">
        <f t="shared" si="6"/>
        <v>1.3675215806400257E-3</v>
      </c>
      <c r="I75">
        <f t="shared" si="7"/>
        <v>-2.1569570199556696E-3</v>
      </c>
      <c r="J75">
        <f t="shared" si="8"/>
        <v>1.1603150733240242E-2</v>
      </c>
      <c r="K75">
        <f t="shared" si="9"/>
        <v>1.8592010009719339E-2</v>
      </c>
      <c r="L75">
        <f t="shared" si="10"/>
        <v>-1.2557802620613692E-2</v>
      </c>
      <c r="M75">
        <f t="shared" si="11"/>
        <v>-3.7219871779932898E-2</v>
      </c>
    </row>
    <row r="76" spans="1:13" x14ac:dyDescent="0.2">
      <c r="A76" s="6">
        <v>45888</v>
      </c>
      <c r="B76" s="7">
        <v>181.99</v>
      </c>
      <c r="C76" s="7">
        <v>201.39</v>
      </c>
      <c r="D76" s="7">
        <v>750.97</v>
      </c>
      <c r="E76" s="7">
        <v>231.49</v>
      </c>
      <c r="F76" s="7">
        <v>100.7</v>
      </c>
      <c r="G76" s="7">
        <v>396.91</v>
      </c>
      <c r="H76">
        <f t="shared" si="6"/>
        <v>3.562917058046592E-2</v>
      </c>
      <c r="I76">
        <f t="shared" si="7"/>
        <v>1.123523165883171E-2</v>
      </c>
      <c r="J76">
        <f t="shared" si="8"/>
        <v>5.0060510768564848E-3</v>
      </c>
      <c r="K76">
        <f t="shared" si="9"/>
        <v>1.5147188407257508E-2</v>
      </c>
      <c r="L76">
        <f t="shared" si="10"/>
        <v>-5.8418899741892773E-3</v>
      </c>
      <c r="M76">
        <f t="shared" si="11"/>
        <v>1.0103525928246013E-2</v>
      </c>
    </row>
    <row r="77" spans="1:13" x14ac:dyDescent="0.2">
      <c r="A77" s="6">
        <v>45884</v>
      </c>
      <c r="B77" s="7">
        <v>182</v>
      </c>
      <c r="C77" s="7">
        <v>203.72</v>
      </c>
      <c r="D77" s="7">
        <v>784.7</v>
      </c>
      <c r="E77" s="7">
        <v>230.98</v>
      </c>
      <c r="F77" s="7">
        <v>100</v>
      </c>
      <c r="G77" s="7">
        <v>389.95</v>
      </c>
      <c r="H77">
        <f t="shared" si="6"/>
        <v>5.4946564479793107E-5</v>
      </c>
      <c r="I77">
        <f t="shared" si="7"/>
        <v>1.1503175397634178E-2</v>
      </c>
      <c r="J77">
        <f t="shared" si="8"/>
        <v>4.393577490486808E-2</v>
      </c>
      <c r="K77">
        <f t="shared" si="9"/>
        <v>-2.2055493620733863E-3</v>
      </c>
      <c r="L77">
        <f t="shared" si="10"/>
        <v>-6.9756137364253229E-3</v>
      </c>
      <c r="M77">
        <f t="shared" si="11"/>
        <v>-1.7691028958407903E-2</v>
      </c>
    </row>
    <row r="78" spans="1:13" x14ac:dyDescent="0.2">
      <c r="A78" s="6">
        <v>45883</v>
      </c>
      <c r="B78" s="7">
        <v>181.57</v>
      </c>
      <c r="C78" s="7">
        <v>202.76</v>
      </c>
      <c r="D78" s="7">
        <v>781.6</v>
      </c>
      <c r="E78" s="7">
        <v>224.56</v>
      </c>
      <c r="F78" s="7">
        <v>100.61</v>
      </c>
      <c r="G78" s="7">
        <v>394.57</v>
      </c>
      <c r="H78">
        <f t="shared" si="6"/>
        <v>-2.3654327942198173E-3</v>
      </c>
      <c r="I78">
        <f t="shared" si="7"/>
        <v>-4.7234884122552764E-3</v>
      </c>
      <c r="J78">
        <f t="shared" si="8"/>
        <v>-3.958378404854559E-3</v>
      </c>
      <c r="K78">
        <f t="shared" si="9"/>
        <v>-2.8188194633314356E-2</v>
      </c>
      <c r="L78">
        <f t="shared" si="10"/>
        <v>6.0814703158679536E-3</v>
      </c>
      <c r="M78">
        <f t="shared" si="11"/>
        <v>1.1778038566054815E-2</v>
      </c>
    </row>
    <row r="79" spans="1:13" x14ac:dyDescent="0.2">
      <c r="A79" s="6">
        <v>45882</v>
      </c>
      <c r="B79" s="7">
        <v>183.14</v>
      </c>
      <c r="C79" s="7">
        <v>201.78</v>
      </c>
      <c r="D79" s="7">
        <v>779.55</v>
      </c>
      <c r="E79" s="7">
        <v>221.47</v>
      </c>
      <c r="F79" s="7">
        <v>100.75</v>
      </c>
      <c r="G79" s="7">
        <v>395.5</v>
      </c>
      <c r="H79">
        <f t="shared" si="6"/>
        <v>8.6096333970104039E-3</v>
      </c>
      <c r="I79">
        <f t="shared" si="7"/>
        <v>-4.8450186239152749E-3</v>
      </c>
      <c r="J79">
        <f t="shared" si="8"/>
        <v>-2.6262706060125418E-3</v>
      </c>
      <c r="K79">
        <f t="shared" si="9"/>
        <v>-1.385579192187314E-2</v>
      </c>
      <c r="L79">
        <f t="shared" si="10"/>
        <v>1.3905445228331026E-3</v>
      </c>
      <c r="M79">
        <f t="shared" si="11"/>
        <v>2.3542228651468856E-3</v>
      </c>
    </row>
    <row r="80" spans="1:13" x14ac:dyDescent="0.2">
      <c r="A80" s="6">
        <v>45881</v>
      </c>
      <c r="B80" s="7">
        <v>182.04</v>
      </c>
      <c r="C80" s="7">
        <v>203.16</v>
      </c>
      <c r="D80" s="7">
        <v>789.47</v>
      </c>
      <c r="E80" s="7">
        <v>221.3</v>
      </c>
      <c r="F80" s="7">
        <v>103.38</v>
      </c>
      <c r="G80" s="7">
        <v>402.28</v>
      </c>
      <c r="H80">
        <f t="shared" si="6"/>
        <v>-6.0244445311449157E-3</v>
      </c>
      <c r="I80">
        <f t="shared" si="7"/>
        <v>6.8158509528110593E-3</v>
      </c>
      <c r="J80">
        <f t="shared" si="8"/>
        <v>1.264500411779068E-2</v>
      </c>
      <c r="K80">
        <f t="shared" si="9"/>
        <v>-7.6789307474992236E-4</v>
      </c>
      <c r="L80">
        <f t="shared" si="10"/>
        <v>2.5769318941100842E-2</v>
      </c>
      <c r="M80">
        <f t="shared" si="11"/>
        <v>1.6997576368571077E-2</v>
      </c>
    </row>
    <row r="81" spans="1:13" x14ac:dyDescent="0.2">
      <c r="A81" s="6">
        <v>45880</v>
      </c>
      <c r="B81" s="7">
        <v>182.68</v>
      </c>
      <c r="C81" s="7">
        <v>200.82</v>
      </c>
      <c r="D81" s="7">
        <v>765.35</v>
      </c>
      <c r="E81" s="7">
        <v>222.69</v>
      </c>
      <c r="F81" s="7">
        <v>103.69</v>
      </c>
      <c r="G81" s="7">
        <v>391.24</v>
      </c>
      <c r="H81">
        <f t="shared" si="6"/>
        <v>3.5095451683571466E-3</v>
      </c>
      <c r="I81">
        <f t="shared" si="7"/>
        <v>-1.1584861481754067E-2</v>
      </c>
      <c r="J81">
        <f t="shared" si="8"/>
        <v>-3.1028588702634929E-2</v>
      </c>
      <c r="K81">
        <f t="shared" si="9"/>
        <v>6.2614227405612894E-3</v>
      </c>
      <c r="L81">
        <f t="shared" si="10"/>
        <v>2.9941588022935543E-3</v>
      </c>
      <c r="M81">
        <f t="shared" si="11"/>
        <v>-2.782718115398743E-2</v>
      </c>
    </row>
    <row r="82" spans="1:13" x14ac:dyDescent="0.2">
      <c r="A82" s="6">
        <v>45877</v>
      </c>
      <c r="B82" s="7">
        <v>180.75</v>
      </c>
      <c r="C82" s="7">
        <v>201.24</v>
      </c>
      <c r="D82" s="7">
        <v>768.78</v>
      </c>
      <c r="E82" s="7">
        <v>223.13</v>
      </c>
      <c r="F82" s="7">
        <v>103.49</v>
      </c>
      <c r="G82" s="7">
        <v>382.87</v>
      </c>
      <c r="H82">
        <f t="shared" si="6"/>
        <v>-1.0621127277924219E-2</v>
      </c>
      <c r="I82">
        <f t="shared" si="7"/>
        <v>2.0892411718275604E-3</v>
      </c>
      <c r="J82">
        <f t="shared" si="8"/>
        <v>4.4715972118234935E-3</v>
      </c>
      <c r="K82">
        <f t="shared" si="9"/>
        <v>1.9738914488465161E-3</v>
      </c>
      <c r="L82">
        <f t="shared" si="10"/>
        <v>-1.9306888901051518E-3</v>
      </c>
      <c r="M82">
        <f t="shared" si="11"/>
        <v>-2.1625676447016587E-2</v>
      </c>
    </row>
    <row r="83" spans="1:13" x14ac:dyDescent="0.2">
      <c r="A83" s="6">
        <v>45876</v>
      </c>
      <c r="B83" s="7">
        <v>179.4</v>
      </c>
      <c r="C83" s="7">
        <v>196.34</v>
      </c>
      <c r="D83" s="7">
        <v>761.32</v>
      </c>
      <c r="E83" s="7">
        <v>222.31</v>
      </c>
      <c r="F83" s="7">
        <v>102.88</v>
      </c>
      <c r="G83" s="7">
        <v>383.18</v>
      </c>
      <c r="H83">
        <f t="shared" si="6"/>
        <v>-7.4969114141782978E-3</v>
      </c>
      <c r="I83">
        <f t="shared" si="7"/>
        <v>-2.4650375358742434E-2</v>
      </c>
      <c r="J83">
        <f t="shared" si="8"/>
        <v>-9.7510739299564893E-3</v>
      </c>
      <c r="K83">
        <f t="shared" si="9"/>
        <v>-3.681757032511617E-3</v>
      </c>
      <c r="L83">
        <f t="shared" si="10"/>
        <v>-5.9117291907724544E-3</v>
      </c>
      <c r="M83">
        <f t="shared" si="11"/>
        <v>8.0934669257068641E-4</v>
      </c>
    </row>
    <row r="84" spans="1:13" x14ac:dyDescent="0.2">
      <c r="A84" s="6">
        <v>45875</v>
      </c>
      <c r="B84" s="7">
        <v>178.24</v>
      </c>
      <c r="C84" s="7">
        <v>195.91</v>
      </c>
      <c r="D84" s="7">
        <v>771.47</v>
      </c>
      <c r="E84" s="7">
        <v>213.75</v>
      </c>
      <c r="F84" s="7">
        <v>103.12</v>
      </c>
      <c r="G84" s="7">
        <v>381.52</v>
      </c>
      <c r="H84">
        <f t="shared" si="6"/>
        <v>-6.486992885776568E-3</v>
      </c>
      <c r="I84">
        <f t="shared" si="7"/>
        <v>-2.1924801644345173E-3</v>
      </c>
      <c r="J84">
        <f t="shared" si="8"/>
        <v>1.3244016939180668E-2</v>
      </c>
      <c r="K84">
        <f t="shared" si="9"/>
        <v>-3.9265696397030585E-2</v>
      </c>
      <c r="L84">
        <f t="shared" si="10"/>
        <v>2.3300981416228303E-3</v>
      </c>
      <c r="M84">
        <f t="shared" si="11"/>
        <v>-4.3415786778774482E-3</v>
      </c>
    </row>
    <row r="85" spans="1:13" x14ac:dyDescent="0.2">
      <c r="A85" s="6">
        <v>45874</v>
      </c>
      <c r="B85" s="7">
        <v>179.98</v>
      </c>
      <c r="C85" s="7">
        <v>194.5</v>
      </c>
      <c r="D85" s="7">
        <v>762.95</v>
      </c>
      <c r="E85" s="7">
        <v>211.65</v>
      </c>
      <c r="F85" s="7">
        <v>99.08</v>
      </c>
      <c r="G85" s="7">
        <v>382.15</v>
      </c>
      <c r="H85">
        <f t="shared" si="6"/>
        <v>9.7147768668832575E-3</v>
      </c>
      <c r="I85">
        <f t="shared" si="7"/>
        <v>-7.2232070414398704E-3</v>
      </c>
      <c r="J85">
        <f t="shared" si="8"/>
        <v>-1.1105287421019289E-2</v>
      </c>
      <c r="K85">
        <f t="shared" si="9"/>
        <v>-9.8731408499368612E-3</v>
      </c>
      <c r="L85">
        <f t="shared" si="10"/>
        <v>-3.9965754009773209E-2</v>
      </c>
      <c r="M85">
        <f t="shared" si="11"/>
        <v>1.6499276989240881E-3</v>
      </c>
    </row>
    <row r="86" spans="1:13" x14ac:dyDescent="0.2">
      <c r="A86" s="6">
        <v>45873</v>
      </c>
      <c r="B86" s="7">
        <v>173.7</v>
      </c>
      <c r="C86" s="7">
        <v>194.87</v>
      </c>
      <c r="D86" s="7">
        <v>775.85</v>
      </c>
      <c r="E86" s="7">
        <v>214.75</v>
      </c>
      <c r="F86" s="7">
        <v>99.36</v>
      </c>
      <c r="G86" s="7">
        <v>380.77</v>
      </c>
      <c r="H86">
        <f t="shared" si="6"/>
        <v>-3.551606035874328E-2</v>
      </c>
      <c r="I86">
        <f t="shared" si="7"/>
        <v>1.9005065175421673E-3</v>
      </c>
      <c r="J86">
        <f t="shared" si="8"/>
        <v>1.6766704191748288E-2</v>
      </c>
      <c r="K86">
        <f t="shared" si="9"/>
        <v>1.454059389743196E-2</v>
      </c>
      <c r="L86">
        <f t="shared" si="10"/>
        <v>2.8220135640098158E-3</v>
      </c>
      <c r="M86">
        <f t="shared" si="11"/>
        <v>-3.6176833877142531E-3</v>
      </c>
    </row>
    <row r="87" spans="1:13" x14ac:dyDescent="0.2">
      <c r="A87" s="6">
        <v>45870</v>
      </c>
      <c r="B87" s="7">
        <v>177.85</v>
      </c>
      <c r="C87" s="7">
        <v>188.96</v>
      </c>
      <c r="D87" s="7">
        <v>749.5</v>
      </c>
      <c r="E87" s="7">
        <v>234.11</v>
      </c>
      <c r="F87" s="7">
        <v>98.26</v>
      </c>
      <c r="G87" s="7">
        <v>376.24</v>
      </c>
      <c r="H87">
        <f t="shared" si="6"/>
        <v>2.3610825147405062E-2</v>
      </c>
      <c r="I87">
        <f t="shared" si="7"/>
        <v>-3.0797317126990832E-2</v>
      </c>
      <c r="J87">
        <f t="shared" si="8"/>
        <v>-3.4552884986840643E-2</v>
      </c>
      <c r="K87">
        <f t="shared" si="9"/>
        <v>8.6316529507862019E-2</v>
      </c>
      <c r="L87">
        <f t="shared" si="10"/>
        <v>-1.1132591444666389E-2</v>
      </c>
      <c r="M87">
        <f t="shared" si="11"/>
        <v>-1.1968280664386183E-2</v>
      </c>
    </row>
    <row r="88" spans="1:13" x14ac:dyDescent="0.2">
      <c r="A88" s="6">
        <v>45869</v>
      </c>
      <c r="B88" s="7">
        <v>179.25</v>
      </c>
      <c r="C88" s="7">
        <v>191.73</v>
      </c>
      <c r="D88" s="7">
        <v>772.92</v>
      </c>
      <c r="E88" s="7">
        <v>230.19</v>
      </c>
      <c r="F88" s="7">
        <v>97.75</v>
      </c>
      <c r="G88" s="7">
        <v>369.16</v>
      </c>
      <c r="H88">
        <f t="shared" si="6"/>
        <v>7.8409810852656421E-3</v>
      </c>
      <c r="I88">
        <f t="shared" si="7"/>
        <v>1.4552779881247859E-2</v>
      </c>
      <c r="J88">
        <f t="shared" si="8"/>
        <v>3.0769232804147298E-2</v>
      </c>
      <c r="K88">
        <f t="shared" si="9"/>
        <v>-1.6886035514543211E-2</v>
      </c>
      <c r="L88">
        <f t="shared" si="10"/>
        <v>-5.2038278750271101E-3</v>
      </c>
      <c r="M88">
        <f t="shared" si="11"/>
        <v>-1.8997083239416478E-2</v>
      </c>
    </row>
    <row r="89" spans="1:13" x14ac:dyDescent="0.2">
      <c r="A89" s="6">
        <v>45868</v>
      </c>
      <c r="B89" s="7">
        <v>175.49</v>
      </c>
      <c r="C89" s="7">
        <v>196.35</v>
      </c>
      <c r="D89" s="7">
        <v>694.74</v>
      </c>
      <c r="E89" s="7">
        <v>231.01</v>
      </c>
      <c r="F89" s="7">
        <v>97.36</v>
      </c>
      <c r="G89" s="7">
        <v>363.09</v>
      </c>
      <c r="H89">
        <f t="shared" si="6"/>
        <v>-2.1199418254214314E-2</v>
      </c>
      <c r="I89">
        <f t="shared" si="7"/>
        <v>2.3810648693718607E-2</v>
      </c>
      <c r="J89">
        <f t="shared" si="8"/>
        <v>-0.10663787549456291</v>
      </c>
      <c r="K89">
        <f t="shared" si="9"/>
        <v>3.5559447704131019E-3</v>
      </c>
      <c r="L89">
        <f t="shared" si="10"/>
        <v>-3.9977501862034298E-3</v>
      </c>
      <c r="M89">
        <f t="shared" si="11"/>
        <v>-1.6579416978753949E-2</v>
      </c>
    </row>
    <row r="90" spans="1:13" x14ac:dyDescent="0.2">
      <c r="A90" s="6">
        <v>45867</v>
      </c>
      <c r="B90" s="7">
        <v>176.73</v>
      </c>
      <c r="C90" s="7">
        <v>195.58</v>
      </c>
      <c r="D90" s="7">
        <v>699.53</v>
      </c>
      <c r="E90" s="7">
        <v>232.79</v>
      </c>
      <c r="F90" s="7">
        <v>98.1</v>
      </c>
      <c r="G90" s="7">
        <v>367.6</v>
      </c>
      <c r="H90">
        <f t="shared" si="6"/>
        <v>7.0410829761901163E-3</v>
      </c>
      <c r="I90">
        <f t="shared" si="7"/>
        <v>-3.9292781398894382E-3</v>
      </c>
      <c r="J90">
        <f t="shared" si="8"/>
        <v>6.8710061106283197E-3</v>
      </c>
      <c r="K90">
        <f t="shared" si="9"/>
        <v>7.6757599801190396E-3</v>
      </c>
      <c r="L90">
        <f t="shared" si="10"/>
        <v>7.5719178920455061E-3</v>
      </c>
      <c r="M90">
        <f t="shared" si="11"/>
        <v>1.234465306290991E-2</v>
      </c>
    </row>
    <row r="91" spans="1:13" x14ac:dyDescent="0.2">
      <c r="A91" s="6">
        <v>45866</v>
      </c>
      <c r="B91" s="7">
        <v>173.48</v>
      </c>
      <c r="C91" s="7">
        <v>192.41</v>
      </c>
      <c r="D91" s="7">
        <v>717.15</v>
      </c>
      <c r="E91" s="7">
        <v>231.44</v>
      </c>
      <c r="F91" s="7">
        <v>97.38</v>
      </c>
      <c r="G91" s="7">
        <v>372.8</v>
      </c>
      <c r="H91">
        <f t="shared" si="6"/>
        <v>-1.8560825234540224E-2</v>
      </c>
      <c r="I91">
        <f t="shared" si="7"/>
        <v>-1.6340990951204171E-2</v>
      </c>
      <c r="J91">
        <f t="shared" si="8"/>
        <v>2.4876342777357119E-2</v>
      </c>
      <c r="K91">
        <f t="shared" si="9"/>
        <v>-5.8160989403361419E-3</v>
      </c>
      <c r="L91">
        <f t="shared" si="10"/>
        <v>-7.366515816762554E-3</v>
      </c>
      <c r="M91">
        <f t="shared" si="11"/>
        <v>1.4046692329904031E-2</v>
      </c>
    </row>
    <row r="92" spans="1:13" x14ac:dyDescent="0.2">
      <c r="A92" s="6">
        <v>45863</v>
      </c>
      <c r="B92" s="7">
        <v>173.72</v>
      </c>
      <c r="C92" s="7">
        <v>193.01</v>
      </c>
      <c r="D92" s="7">
        <v>712.2</v>
      </c>
      <c r="E92" s="7">
        <v>232.23</v>
      </c>
      <c r="F92" s="7">
        <v>97.24</v>
      </c>
      <c r="G92" s="7">
        <v>372.69</v>
      </c>
      <c r="H92">
        <f t="shared" si="6"/>
        <v>1.3824886994557525E-3</v>
      </c>
      <c r="I92">
        <f t="shared" si="7"/>
        <v>3.1134891011915383E-3</v>
      </c>
      <c r="J92">
        <f t="shared" si="8"/>
        <v>-6.9262528965446206E-3</v>
      </c>
      <c r="K92">
        <f t="shared" si="9"/>
        <v>3.4075992168521485E-3</v>
      </c>
      <c r="L92">
        <f t="shared" si="10"/>
        <v>-1.4387013066321911E-3</v>
      </c>
      <c r="M92">
        <f t="shared" si="11"/>
        <v>-2.9510791774089843E-4</v>
      </c>
    </row>
    <row r="93" spans="1:13" x14ac:dyDescent="0.2">
      <c r="A93" s="6">
        <v>45862</v>
      </c>
      <c r="B93" s="7">
        <v>170.76</v>
      </c>
      <c r="C93" s="7">
        <v>192</v>
      </c>
      <c r="D93" s="7">
        <v>714.32</v>
      </c>
      <c r="E93" s="7">
        <v>228.29</v>
      </c>
      <c r="F93" s="7">
        <v>96.37</v>
      </c>
      <c r="G93" s="7">
        <v>370.82</v>
      </c>
      <c r="H93">
        <f t="shared" si="6"/>
        <v>-1.7185745776859902E-2</v>
      </c>
      <c r="I93">
        <f t="shared" si="7"/>
        <v>-5.2466290063349916E-3</v>
      </c>
      <c r="J93">
        <f t="shared" si="8"/>
        <v>2.9722703652835946E-3</v>
      </c>
      <c r="K93">
        <f t="shared" si="9"/>
        <v>-1.7111509323210837E-2</v>
      </c>
      <c r="L93">
        <f t="shared" si="10"/>
        <v>-8.9871995847264647E-3</v>
      </c>
      <c r="M93">
        <f t="shared" si="11"/>
        <v>-5.0302052239879769E-3</v>
      </c>
    </row>
    <row r="94" spans="1:13" x14ac:dyDescent="0.2">
      <c r="A94" s="6">
        <v>45861</v>
      </c>
      <c r="B94" s="7">
        <v>167.01</v>
      </c>
      <c r="C94" s="7">
        <v>190.06</v>
      </c>
      <c r="D94" s="7">
        <v>713.1</v>
      </c>
      <c r="E94" s="7">
        <v>227.47</v>
      </c>
      <c r="F94" s="7">
        <v>95.46</v>
      </c>
      <c r="G94" s="7">
        <v>368.6</v>
      </c>
      <c r="H94">
        <f t="shared" si="6"/>
        <v>-2.220537102623522E-2</v>
      </c>
      <c r="I94">
        <f t="shared" si="7"/>
        <v>-1.0155560244612392E-2</v>
      </c>
      <c r="J94">
        <f t="shared" si="8"/>
        <v>-1.7093781747030943E-3</v>
      </c>
      <c r="K94">
        <f t="shared" si="9"/>
        <v>-3.5983889977504006E-3</v>
      </c>
      <c r="L94">
        <f t="shared" si="10"/>
        <v>-9.4876382854456928E-3</v>
      </c>
      <c r="M94">
        <f t="shared" si="11"/>
        <v>-6.0047244339843263E-3</v>
      </c>
    </row>
    <row r="95" spans="1:13" x14ac:dyDescent="0.2">
      <c r="A95" s="6">
        <v>45860</v>
      </c>
      <c r="B95" s="7">
        <v>171.36</v>
      </c>
      <c r="C95" s="7">
        <v>191.17</v>
      </c>
      <c r="D95" s="7">
        <v>704.33</v>
      </c>
      <c r="E95" s="7">
        <v>229.3</v>
      </c>
      <c r="F95" s="7">
        <v>95.63</v>
      </c>
      <c r="G95" s="7">
        <v>371.82</v>
      </c>
      <c r="H95">
        <f t="shared" si="6"/>
        <v>2.5712915835912779E-2</v>
      </c>
      <c r="I95">
        <f t="shared" si="7"/>
        <v>5.8232727577577793E-3</v>
      </c>
      <c r="J95">
        <f t="shared" si="8"/>
        <v>-1.2374666705176549E-2</v>
      </c>
      <c r="K95">
        <f t="shared" si="9"/>
        <v>8.0128283000882785E-3</v>
      </c>
      <c r="L95">
        <f t="shared" si="10"/>
        <v>1.7792667837007658E-3</v>
      </c>
      <c r="M95">
        <f t="shared" si="11"/>
        <v>8.6978209663482239E-3</v>
      </c>
    </row>
    <row r="96" spans="1:13" x14ac:dyDescent="0.2">
      <c r="A96" s="6">
        <v>45859</v>
      </c>
      <c r="B96" s="7">
        <v>172.39</v>
      </c>
      <c r="C96" s="7">
        <v>189.93</v>
      </c>
      <c r="D96" s="7">
        <v>712.49</v>
      </c>
      <c r="E96" s="7">
        <v>226.13</v>
      </c>
      <c r="F96" s="7">
        <v>95.45</v>
      </c>
      <c r="G96" s="7">
        <v>366.55</v>
      </c>
      <c r="H96">
        <f t="shared" si="6"/>
        <v>5.9927452074484047E-3</v>
      </c>
      <c r="I96">
        <f t="shared" si="7"/>
        <v>-6.5075013167820456E-3</v>
      </c>
      <c r="J96">
        <f t="shared" si="8"/>
        <v>1.1518880627512228E-2</v>
      </c>
      <c r="K96">
        <f t="shared" si="9"/>
        <v>-1.3921134728956116E-2</v>
      </c>
      <c r="L96">
        <f t="shared" si="10"/>
        <v>-1.8840281896945824E-3</v>
      </c>
      <c r="M96">
        <f t="shared" si="11"/>
        <v>-1.4274928532475526E-2</v>
      </c>
    </row>
    <row r="97" spans="1:13" x14ac:dyDescent="0.2">
      <c r="A97" s="6">
        <v>45856</v>
      </c>
      <c r="B97" s="7">
        <v>172.98</v>
      </c>
      <c r="C97" s="7">
        <v>184.89</v>
      </c>
      <c r="D97" s="7">
        <v>703.8</v>
      </c>
      <c r="E97" s="7">
        <v>223.88</v>
      </c>
      <c r="F97" s="7">
        <v>94.83</v>
      </c>
      <c r="G97" s="7">
        <v>359.66</v>
      </c>
      <c r="H97">
        <f t="shared" si="6"/>
        <v>3.4166289714785058E-3</v>
      </c>
      <c r="I97">
        <f t="shared" si="7"/>
        <v>-2.6894529581883504E-2</v>
      </c>
      <c r="J97">
        <f t="shared" si="8"/>
        <v>-1.2271652069108843E-2</v>
      </c>
      <c r="K97">
        <f t="shared" si="9"/>
        <v>-9.9998611117438022E-3</v>
      </c>
      <c r="L97">
        <f t="shared" si="10"/>
        <v>-6.5167352761205969E-3</v>
      </c>
      <c r="M97">
        <f t="shared" si="11"/>
        <v>-1.8975796932544694E-2</v>
      </c>
    </row>
    <row r="98" spans="1:13" x14ac:dyDescent="0.2">
      <c r="A98" s="6">
        <v>45855</v>
      </c>
      <c r="B98" s="7">
        <v>171.35</v>
      </c>
      <c r="C98" s="7">
        <v>183.42</v>
      </c>
      <c r="D98" s="7">
        <v>700.94</v>
      </c>
      <c r="E98" s="7">
        <v>223.19</v>
      </c>
      <c r="F98" s="7">
        <v>94.87</v>
      </c>
      <c r="G98" s="7">
        <v>355.08</v>
      </c>
      <c r="H98">
        <f t="shared" si="6"/>
        <v>-9.467732557747903E-3</v>
      </c>
      <c r="I98">
        <f t="shared" si="7"/>
        <v>-7.9824485114632863E-3</v>
      </c>
      <c r="J98">
        <f t="shared" si="8"/>
        <v>-4.0719335275121024E-3</v>
      </c>
      <c r="K98">
        <f t="shared" si="9"/>
        <v>-3.0867673870648643E-3</v>
      </c>
      <c r="L98">
        <f t="shared" si="10"/>
        <v>4.2171850914939866E-4</v>
      </c>
      <c r="M98">
        <f t="shared" si="11"/>
        <v>-1.2816024536932384E-2</v>
      </c>
    </row>
    <row r="99" spans="1:13" x14ac:dyDescent="0.2">
      <c r="A99" s="6">
        <v>45854</v>
      </c>
      <c r="B99" s="7">
        <v>170.68</v>
      </c>
      <c r="C99" s="7">
        <v>182.81</v>
      </c>
      <c r="D99" s="7">
        <v>702.44</v>
      </c>
      <c r="E99" s="7">
        <v>226.35</v>
      </c>
      <c r="F99" s="7">
        <v>94.93</v>
      </c>
      <c r="G99" s="7">
        <v>354.72</v>
      </c>
      <c r="H99">
        <f t="shared" si="6"/>
        <v>-3.917790000818531E-3</v>
      </c>
      <c r="I99">
        <f t="shared" si="7"/>
        <v>-3.3312430118042796E-3</v>
      </c>
      <c r="J99">
        <f t="shared" si="8"/>
        <v>2.1376969476813372E-3</v>
      </c>
      <c r="K99">
        <f t="shared" si="9"/>
        <v>1.4059047245873747E-2</v>
      </c>
      <c r="L99">
        <f t="shared" si="10"/>
        <v>6.322444889216355E-4</v>
      </c>
      <c r="M99">
        <f t="shared" si="11"/>
        <v>-1.0143703321171696E-3</v>
      </c>
    </row>
    <row r="100" spans="1:13" x14ac:dyDescent="0.2">
      <c r="A100" s="6">
        <v>45853</v>
      </c>
      <c r="B100" s="7">
        <v>164.05</v>
      </c>
      <c r="C100" s="7">
        <v>181.84</v>
      </c>
      <c r="D100" s="7">
        <v>709.91</v>
      </c>
      <c r="E100" s="7">
        <v>225.69</v>
      </c>
      <c r="F100" s="7">
        <v>95.17</v>
      </c>
      <c r="G100" s="7">
        <v>353.1</v>
      </c>
      <c r="H100">
        <f t="shared" si="6"/>
        <v>-3.9619198912688544E-2</v>
      </c>
      <c r="I100">
        <f t="shared" si="7"/>
        <v>-5.3201825747061105E-3</v>
      </c>
      <c r="J100">
        <f t="shared" si="8"/>
        <v>1.0578213129527643E-2</v>
      </c>
      <c r="K100">
        <f t="shared" si="9"/>
        <v>-2.9200976417277221E-3</v>
      </c>
      <c r="L100">
        <f t="shared" si="10"/>
        <v>2.5249881905449272E-3</v>
      </c>
      <c r="M100">
        <f t="shared" si="11"/>
        <v>-4.5774429336606394E-3</v>
      </c>
    </row>
    <row r="101" spans="1:13" x14ac:dyDescent="0.2">
      <c r="A101" s="6">
        <v>45852</v>
      </c>
      <c r="B101" s="7">
        <v>164.9</v>
      </c>
      <c r="C101" s="7">
        <v>181.4</v>
      </c>
      <c r="D101" s="7">
        <v>720.43</v>
      </c>
      <c r="E101" s="7">
        <v>225.02</v>
      </c>
      <c r="F101" s="7">
        <v>95.56</v>
      </c>
      <c r="G101" s="7">
        <v>354.33</v>
      </c>
      <c r="H101">
        <f t="shared" si="6"/>
        <v>5.1679701584425976E-3</v>
      </c>
      <c r="I101">
        <f t="shared" si="7"/>
        <v>-2.422641863251555E-3</v>
      </c>
      <c r="J101">
        <f t="shared" si="8"/>
        <v>1.471005452892311E-2</v>
      </c>
      <c r="K101">
        <f t="shared" si="9"/>
        <v>-2.9730890973140422E-3</v>
      </c>
      <c r="L101">
        <f t="shared" si="10"/>
        <v>4.0895563733568691E-3</v>
      </c>
      <c r="M101">
        <f t="shared" si="11"/>
        <v>3.4773793575246896E-3</v>
      </c>
    </row>
    <row r="102" spans="1:13" x14ac:dyDescent="0.2">
      <c r="A102" s="6">
        <v>45849</v>
      </c>
      <c r="B102" s="7">
        <v>164.08</v>
      </c>
      <c r="C102" s="7">
        <v>180.03</v>
      </c>
      <c r="D102" s="7">
        <v>717.03</v>
      </c>
      <c r="E102" s="7">
        <v>222.26</v>
      </c>
      <c r="F102" s="7">
        <v>94.18</v>
      </c>
      <c r="G102" s="7">
        <v>365.66</v>
      </c>
      <c r="H102">
        <f t="shared" si="6"/>
        <v>-4.985115801428029E-3</v>
      </c>
      <c r="I102">
        <f t="shared" si="7"/>
        <v>-7.5810340115050803E-3</v>
      </c>
      <c r="J102">
        <f t="shared" si="8"/>
        <v>-4.730575237610616E-3</v>
      </c>
      <c r="K102">
        <f t="shared" si="9"/>
        <v>-1.2341419385425481E-2</v>
      </c>
      <c r="L102">
        <f t="shared" si="10"/>
        <v>-1.4546477642200167E-2</v>
      </c>
      <c r="M102">
        <f t="shared" si="11"/>
        <v>3.147525760849338E-2</v>
      </c>
    </row>
    <row r="103" spans="1:13" x14ac:dyDescent="0.2">
      <c r="A103" s="6">
        <v>45848</v>
      </c>
      <c r="B103" s="7">
        <v>162.86000000000001</v>
      </c>
      <c r="C103" s="7">
        <v>177.46</v>
      </c>
      <c r="D103" s="7">
        <v>726.75</v>
      </c>
      <c r="E103" s="7">
        <v>222.54</v>
      </c>
      <c r="F103" s="7">
        <v>94.64</v>
      </c>
      <c r="G103" s="7">
        <v>365.62</v>
      </c>
      <c r="H103">
        <f t="shared" si="6"/>
        <v>-7.463177725139874E-3</v>
      </c>
      <c r="I103">
        <f t="shared" si="7"/>
        <v>-1.4378272262339419E-2</v>
      </c>
      <c r="J103">
        <f t="shared" si="8"/>
        <v>1.3464858710491339E-2</v>
      </c>
      <c r="K103">
        <f t="shared" si="9"/>
        <v>1.2589929720540336E-3</v>
      </c>
      <c r="L103">
        <f t="shared" si="10"/>
        <v>4.8723748547227419E-3</v>
      </c>
      <c r="M103">
        <f t="shared" si="11"/>
        <v>-1.0939722141970665E-4</v>
      </c>
    </row>
    <row r="104" spans="1:13" x14ac:dyDescent="0.2">
      <c r="A104" s="6">
        <v>45847</v>
      </c>
      <c r="B104" s="7">
        <v>159.97999999999999</v>
      </c>
      <c r="C104" s="7">
        <v>176.46</v>
      </c>
      <c r="D104" s="7">
        <v>732.29</v>
      </c>
      <c r="E104" s="7">
        <v>219.36</v>
      </c>
      <c r="F104" s="7">
        <v>96.58</v>
      </c>
      <c r="G104" s="7">
        <v>368.81</v>
      </c>
      <c r="H104">
        <f t="shared" si="6"/>
        <v>-1.7842128618309628E-2</v>
      </c>
      <c r="I104">
        <f t="shared" si="7"/>
        <v>-5.6510096132330019E-3</v>
      </c>
      <c r="J104">
        <f t="shared" si="8"/>
        <v>7.5940709291740906E-3</v>
      </c>
      <c r="K104">
        <f t="shared" si="9"/>
        <v>-1.4392644915550095E-2</v>
      </c>
      <c r="L104">
        <f t="shared" si="10"/>
        <v>2.0291460775264579E-2</v>
      </c>
      <c r="M104">
        <f t="shared" si="11"/>
        <v>8.6870636033574925E-3</v>
      </c>
    </row>
    <row r="105" spans="1:13" x14ac:dyDescent="0.2">
      <c r="A105" s="6">
        <v>45846</v>
      </c>
      <c r="B105" s="7">
        <v>158.22</v>
      </c>
      <c r="C105" s="7">
        <v>174.2</v>
      </c>
      <c r="D105" s="7">
        <v>720.18</v>
      </c>
      <c r="E105" s="7">
        <v>223.47</v>
      </c>
      <c r="F105" s="7">
        <v>96.86</v>
      </c>
      <c r="G105" s="7">
        <v>366.58</v>
      </c>
      <c r="H105">
        <f t="shared" si="6"/>
        <v>-1.1062337827425488E-2</v>
      </c>
      <c r="I105">
        <f t="shared" si="7"/>
        <v>-1.2890157375556297E-2</v>
      </c>
      <c r="J105">
        <f t="shared" si="8"/>
        <v>-1.6675429602850955E-2</v>
      </c>
      <c r="K105">
        <f t="shared" si="9"/>
        <v>1.8562961042290358E-2</v>
      </c>
      <c r="L105">
        <f t="shared" si="10"/>
        <v>2.8949565296873181E-3</v>
      </c>
      <c r="M105">
        <f t="shared" si="11"/>
        <v>-6.0648277385950133E-3</v>
      </c>
    </row>
    <row r="106" spans="1:13" x14ac:dyDescent="0.2">
      <c r="A106" s="6">
        <v>45845</v>
      </c>
      <c r="B106" s="7">
        <v>159.32</v>
      </c>
      <c r="C106" s="7">
        <v>176.63</v>
      </c>
      <c r="D106" s="7">
        <v>717.87</v>
      </c>
      <c r="E106" s="7">
        <v>223.41</v>
      </c>
      <c r="F106" s="7">
        <v>99.12</v>
      </c>
      <c r="G106" s="7">
        <v>363.08</v>
      </c>
      <c r="H106">
        <f t="shared" si="6"/>
        <v>6.9282887201930782E-3</v>
      </c>
      <c r="I106">
        <f t="shared" si="7"/>
        <v>1.3853084748949739E-2</v>
      </c>
      <c r="J106">
        <f t="shared" si="8"/>
        <v>-3.2126866059739921E-3</v>
      </c>
      <c r="K106">
        <f t="shared" si="9"/>
        <v>-2.6852846563079458E-4</v>
      </c>
      <c r="L106">
        <f t="shared" si="10"/>
        <v>2.3064600345803994E-2</v>
      </c>
      <c r="M106">
        <f t="shared" si="11"/>
        <v>-9.5935828852753216E-3</v>
      </c>
    </row>
    <row r="107" spans="1:13" x14ac:dyDescent="0.2">
      <c r="A107" s="6">
        <v>45841</v>
      </c>
      <c r="B107" s="7">
        <v>157.22999999999999</v>
      </c>
      <c r="C107" s="7">
        <v>179.37</v>
      </c>
      <c r="D107" s="7">
        <v>718.53</v>
      </c>
      <c r="E107" s="7">
        <v>219.92</v>
      </c>
      <c r="F107" s="7">
        <v>98.13</v>
      </c>
      <c r="G107" s="7">
        <v>363.22</v>
      </c>
      <c r="H107">
        <f t="shared" si="6"/>
        <v>-1.3205056831258917E-2</v>
      </c>
      <c r="I107">
        <f t="shared" si="7"/>
        <v>1.5393562393570688E-2</v>
      </c>
      <c r="J107">
        <f t="shared" si="8"/>
        <v>9.1896414153058931E-4</v>
      </c>
      <c r="K107">
        <f t="shared" si="9"/>
        <v>-1.5744804533673606E-2</v>
      </c>
      <c r="L107">
        <f t="shared" si="10"/>
        <v>-1.0038107102484907E-2</v>
      </c>
      <c r="M107">
        <f t="shared" si="11"/>
        <v>3.8551563192619812E-4</v>
      </c>
    </row>
    <row r="108" spans="1:13" x14ac:dyDescent="0.2">
      <c r="A108" s="6">
        <v>45840</v>
      </c>
      <c r="B108" s="7">
        <v>153.28</v>
      </c>
      <c r="C108" s="7">
        <v>178.48</v>
      </c>
      <c r="D108" s="7">
        <v>713.09</v>
      </c>
      <c r="E108" s="7">
        <v>220.46</v>
      </c>
      <c r="F108" s="7">
        <v>97.38</v>
      </c>
      <c r="G108" s="7">
        <v>367.21</v>
      </c>
      <c r="H108">
        <f t="shared" si="6"/>
        <v>-2.5443387259634149E-2</v>
      </c>
      <c r="I108">
        <f t="shared" si="7"/>
        <v>-4.9741614366457425E-3</v>
      </c>
      <c r="J108">
        <f t="shared" si="8"/>
        <v>-7.5998186435764243E-3</v>
      </c>
      <c r="K108">
        <f t="shared" si="9"/>
        <v>2.4524286781791161E-3</v>
      </c>
      <c r="L108">
        <f t="shared" si="10"/>
        <v>-7.6722794638474064E-3</v>
      </c>
      <c r="M108">
        <f t="shared" si="11"/>
        <v>1.0925180200636537E-2</v>
      </c>
    </row>
    <row r="109" spans="1:13" x14ac:dyDescent="0.2">
      <c r="A109" s="6">
        <v>45839</v>
      </c>
      <c r="B109" s="7">
        <v>157.97</v>
      </c>
      <c r="C109" s="7">
        <v>175.68</v>
      </c>
      <c r="D109" s="7">
        <v>718.73</v>
      </c>
      <c r="E109" s="7">
        <v>219.39</v>
      </c>
      <c r="F109" s="7">
        <v>98.01</v>
      </c>
      <c r="G109" s="7">
        <v>367.38</v>
      </c>
      <c r="H109">
        <f t="shared" si="6"/>
        <v>3.013882735845546E-2</v>
      </c>
      <c r="I109">
        <f t="shared" si="7"/>
        <v>-1.5812391803111198E-2</v>
      </c>
      <c r="J109">
        <f t="shared" si="8"/>
        <v>7.8781259801625463E-3</v>
      </c>
      <c r="K109">
        <f t="shared" si="9"/>
        <v>-4.8653045841999679E-3</v>
      </c>
      <c r="L109">
        <f t="shared" si="10"/>
        <v>6.4486635265338316E-3</v>
      </c>
      <c r="M109">
        <f t="shared" si="11"/>
        <v>4.6284322692896168E-4</v>
      </c>
    </row>
    <row r="110" spans="1:13" x14ac:dyDescent="0.2">
      <c r="A110" s="6">
        <v>45838</v>
      </c>
      <c r="B110" s="7">
        <v>157.72999999999999</v>
      </c>
      <c r="C110" s="7">
        <v>176.07</v>
      </c>
      <c r="D110" s="7">
        <v>737.59</v>
      </c>
      <c r="E110" s="7">
        <v>223.3</v>
      </c>
      <c r="F110" s="7">
        <v>97.55</v>
      </c>
      <c r="G110" s="7">
        <v>368.67</v>
      </c>
      <c r="H110">
        <f t="shared" si="6"/>
        <v>-1.5204310816231855E-3</v>
      </c>
      <c r="I110">
        <f t="shared" si="7"/>
        <v>2.2174849171869679E-3</v>
      </c>
      <c r="J110">
        <f t="shared" si="8"/>
        <v>2.59023490292986E-2</v>
      </c>
      <c r="K110">
        <f t="shared" si="9"/>
        <v>1.76651908951427E-2</v>
      </c>
      <c r="L110">
        <f t="shared" si="10"/>
        <v>-4.7044472119683071E-3</v>
      </c>
      <c r="M110">
        <f t="shared" si="11"/>
        <v>3.5052002466975925E-3</v>
      </c>
    </row>
    <row r="111" spans="1:13" x14ac:dyDescent="0.2">
      <c r="A111" s="6">
        <v>45835</v>
      </c>
      <c r="B111" s="7">
        <v>155</v>
      </c>
      <c r="C111" s="7">
        <v>178.37</v>
      </c>
      <c r="D111" s="7">
        <v>733.14</v>
      </c>
      <c r="E111" s="7">
        <v>217.12</v>
      </c>
      <c r="F111" s="7">
        <v>97.04</v>
      </c>
      <c r="G111" s="7">
        <v>362.23</v>
      </c>
      <c r="H111">
        <f t="shared" si="6"/>
        <v>-1.7459593580136035E-2</v>
      </c>
      <c r="I111">
        <f t="shared" si="7"/>
        <v>1.2978401331859235E-2</v>
      </c>
      <c r="J111">
        <f t="shared" si="8"/>
        <v>-6.0514351102637443E-3</v>
      </c>
      <c r="K111">
        <f t="shared" si="9"/>
        <v>-2.8065962759553201E-2</v>
      </c>
      <c r="L111">
        <f t="shared" si="10"/>
        <v>-5.2418024333254678E-3</v>
      </c>
      <c r="M111">
        <f t="shared" si="11"/>
        <v>-1.7622565777972124E-2</v>
      </c>
    </row>
    <row r="112" spans="1:13" x14ac:dyDescent="0.2">
      <c r="A112" s="6">
        <v>45834</v>
      </c>
      <c r="B112" s="7">
        <v>154.29</v>
      </c>
      <c r="C112" s="7">
        <v>173.38</v>
      </c>
      <c r="D112" s="7">
        <v>725.6</v>
      </c>
      <c r="E112" s="7">
        <v>211.99</v>
      </c>
      <c r="F112" s="7">
        <v>95.8</v>
      </c>
      <c r="G112" s="7">
        <v>364.3</v>
      </c>
      <c r="H112">
        <f t="shared" si="6"/>
        <v>-4.5911684643121934E-3</v>
      </c>
      <c r="I112">
        <f t="shared" si="7"/>
        <v>-2.8374327129717773E-2</v>
      </c>
      <c r="J112">
        <f t="shared" si="8"/>
        <v>-1.0337780755559012E-2</v>
      </c>
      <c r="K112">
        <f t="shared" si="9"/>
        <v>-2.391109233839778E-2</v>
      </c>
      <c r="L112">
        <f t="shared" si="10"/>
        <v>-1.2860579658979882E-2</v>
      </c>
      <c r="M112">
        <f t="shared" si="11"/>
        <v>5.698334827874618E-3</v>
      </c>
    </row>
    <row r="113" spans="1:13" x14ac:dyDescent="0.2">
      <c r="A113" s="6">
        <v>45833</v>
      </c>
      <c r="B113" s="7">
        <v>147.88</v>
      </c>
      <c r="C113" s="7">
        <v>170.53</v>
      </c>
      <c r="D113" s="7">
        <v>708.2</v>
      </c>
      <c r="E113" s="7">
        <v>212.77</v>
      </c>
      <c r="F113" s="7">
        <v>97.03</v>
      </c>
      <c r="G113" s="7">
        <v>359.13</v>
      </c>
      <c r="H113">
        <f t="shared" si="6"/>
        <v>-4.243281438650337E-2</v>
      </c>
      <c r="I113">
        <f t="shared" si="7"/>
        <v>-1.6574483115671425E-2</v>
      </c>
      <c r="J113">
        <f t="shared" si="8"/>
        <v>-2.4272359123123498E-2</v>
      </c>
      <c r="K113">
        <f t="shared" si="9"/>
        <v>3.6726663374653003E-3</v>
      </c>
      <c r="L113">
        <f t="shared" si="10"/>
        <v>1.2757524060393353E-2</v>
      </c>
      <c r="M113">
        <f t="shared" si="11"/>
        <v>-1.4293264083129999E-2</v>
      </c>
    </row>
    <row r="114" spans="1:13" x14ac:dyDescent="0.2">
      <c r="A114" s="6">
        <v>45832</v>
      </c>
      <c r="B114" s="7">
        <v>144.15</v>
      </c>
      <c r="C114" s="7">
        <v>166.62</v>
      </c>
      <c r="D114" s="7">
        <v>711.72</v>
      </c>
      <c r="E114" s="7">
        <v>208.47</v>
      </c>
      <c r="F114" s="7">
        <v>97.77</v>
      </c>
      <c r="G114" s="7">
        <v>357.51</v>
      </c>
      <c r="H114">
        <f t="shared" si="6"/>
        <v>-2.5546709984019887E-2</v>
      </c>
      <c r="I114">
        <f t="shared" si="7"/>
        <v>-2.3195463778059651E-2</v>
      </c>
      <c r="J114">
        <f t="shared" si="8"/>
        <v>4.9580359608320792E-3</v>
      </c>
      <c r="K114">
        <f t="shared" si="9"/>
        <v>-2.0416624091280856E-2</v>
      </c>
      <c r="L114">
        <f t="shared" si="10"/>
        <v>7.5975724803716343E-3</v>
      </c>
      <c r="M114">
        <f t="shared" si="11"/>
        <v>-4.5211061605637537E-3</v>
      </c>
    </row>
    <row r="115" spans="1:13" x14ac:dyDescent="0.2">
      <c r="A115" s="6">
        <v>45831</v>
      </c>
      <c r="B115" s="7">
        <v>143.83000000000001</v>
      </c>
      <c r="C115" s="7">
        <v>165.04</v>
      </c>
      <c r="D115" s="7">
        <v>698.06</v>
      </c>
      <c r="E115" s="7">
        <v>209.69</v>
      </c>
      <c r="F115" s="7">
        <v>97.64</v>
      </c>
      <c r="G115" s="7">
        <v>356.08</v>
      </c>
      <c r="H115">
        <f t="shared" si="6"/>
        <v>-2.2223774686133155E-3</v>
      </c>
      <c r="I115">
        <f t="shared" si="7"/>
        <v>-9.5279017837669022E-3</v>
      </c>
      <c r="J115">
        <f t="shared" si="8"/>
        <v>-1.9379516685215589E-2</v>
      </c>
      <c r="K115">
        <f t="shared" si="9"/>
        <v>5.8351036043086122E-3</v>
      </c>
      <c r="L115">
        <f t="shared" si="10"/>
        <v>-1.3305359928204859E-3</v>
      </c>
      <c r="M115">
        <f t="shared" si="11"/>
        <v>-4.0079090632256856E-3</v>
      </c>
    </row>
    <row r="116" spans="1:13" x14ac:dyDescent="0.2">
      <c r="A116" s="6">
        <v>45828</v>
      </c>
      <c r="B116" s="7">
        <v>145.46</v>
      </c>
      <c r="C116" s="7">
        <v>166.49</v>
      </c>
      <c r="D116" s="7">
        <v>681.89</v>
      </c>
      <c r="E116" s="7">
        <v>212.52</v>
      </c>
      <c r="F116" s="7">
        <v>95.9</v>
      </c>
      <c r="G116" s="7">
        <v>352.67</v>
      </c>
      <c r="H116">
        <f t="shared" si="6"/>
        <v>1.126908811059673E-2</v>
      </c>
      <c r="I116">
        <f t="shared" si="7"/>
        <v>8.747378793764601E-3</v>
      </c>
      <c r="J116">
        <f t="shared" si="8"/>
        <v>-2.3436704441221406E-2</v>
      </c>
      <c r="K116">
        <f t="shared" si="9"/>
        <v>1.3405851984088351E-2</v>
      </c>
      <c r="L116">
        <f t="shared" si="10"/>
        <v>-1.7981263635366743E-2</v>
      </c>
      <c r="M116">
        <f t="shared" si="11"/>
        <v>-9.6226492062905407E-3</v>
      </c>
    </row>
    <row r="117" spans="1:13" x14ac:dyDescent="0.2">
      <c r="A117" s="6">
        <v>45826</v>
      </c>
      <c r="B117" s="7">
        <v>144.1</v>
      </c>
      <c r="C117" s="7">
        <v>173.17</v>
      </c>
      <c r="D117" s="7">
        <v>695.3</v>
      </c>
      <c r="E117" s="7">
        <v>214.82</v>
      </c>
      <c r="F117" s="7">
        <v>94.87</v>
      </c>
      <c r="G117" s="7">
        <v>345.41</v>
      </c>
      <c r="H117">
        <f t="shared" si="6"/>
        <v>-9.3936317209183766E-3</v>
      </c>
      <c r="I117">
        <f t="shared" si="7"/>
        <v>3.9338523407298612E-2</v>
      </c>
      <c r="J117">
        <f t="shared" si="8"/>
        <v>1.9475052592773528E-2</v>
      </c>
      <c r="K117">
        <f t="shared" si="9"/>
        <v>1.0764366587158484E-2</v>
      </c>
      <c r="L117">
        <f t="shared" si="10"/>
        <v>-1.0798448484607094E-2</v>
      </c>
      <c r="M117">
        <f t="shared" si="11"/>
        <v>-2.0800658268049381E-2</v>
      </c>
    </row>
    <row r="118" spans="1:13" x14ac:dyDescent="0.2">
      <c r="A118" s="6">
        <v>45825</v>
      </c>
      <c r="B118" s="7">
        <v>144.66999999999999</v>
      </c>
      <c r="C118" s="7">
        <v>175.79</v>
      </c>
      <c r="D118" s="7">
        <v>696.76</v>
      </c>
      <c r="E118" s="7">
        <v>216.1</v>
      </c>
      <c r="F118" s="7">
        <v>94.03</v>
      </c>
      <c r="G118" s="7">
        <v>342.85</v>
      </c>
      <c r="H118">
        <f t="shared" si="6"/>
        <v>3.9477836360224403E-3</v>
      </c>
      <c r="I118">
        <f t="shared" si="7"/>
        <v>1.5016329847740205E-2</v>
      </c>
      <c r="J118">
        <f t="shared" si="8"/>
        <v>2.0976115042888625E-3</v>
      </c>
      <c r="K118">
        <f t="shared" si="9"/>
        <v>5.9407953429392668E-3</v>
      </c>
      <c r="L118">
        <f t="shared" si="10"/>
        <v>-8.8936531157999266E-3</v>
      </c>
      <c r="M118">
        <f t="shared" si="11"/>
        <v>-7.4390835028854104E-3</v>
      </c>
    </row>
    <row r="119" spans="1:13" x14ac:dyDescent="0.2">
      <c r="A119" s="6">
        <v>45821</v>
      </c>
      <c r="B119" s="7">
        <v>144.97999999999999</v>
      </c>
      <c r="C119" s="7">
        <v>174.51</v>
      </c>
      <c r="D119" s="7">
        <v>701.65</v>
      </c>
      <c r="E119" s="7">
        <v>213.24</v>
      </c>
      <c r="F119" s="7">
        <v>94.22</v>
      </c>
      <c r="G119" s="7">
        <v>349.31</v>
      </c>
      <c r="H119">
        <f t="shared" si="6"/>
        <v>2.1405152312329629E-3</v>
      </c>
      <c r="I119">
        <f t="shared" si="7"/>
        <v>-7.3080542210198531E-3</v>
      </c>
      <c r="J119">
        <f t="shared" si="8"/>
        <v>6.9936855878837169E-3</v>
      </c>
      <c r="K119">
        <f t="shared" si="9"/>
        <v>-1.3322971558279911E-2</v>
      </c>
      <c r="L119">
        <f t="shared" si="10"/>
        <v>2.0185929829094479E-3</v>
      </c>
      <c r="M119">
        <f t="shared" si="11"/>
        <v>1.8666746358563111E-2</v>
      </c>
    </row>
    <row r="120" spans="1:13" x14ac:dyDescent="0.2">
      <c r="A120" s="6">
        <v>45819</v>
      </c>
      <c r="B120" s="7">
        <v>142.81</v>
      </c>
      <c r="C120" s="7">
        <v>175.54</v>
      </c>
      <c r="D120" s="7">
        <v>681.88</v>
      </c>
      <c r="E120" s="7">
        <v>213.2</v>
      </c>
      <c r="F120" s="7">
        <v>94.61</v>
      </c>
      <c r="G120" s="7">
        <v>350.39</v>
      </c>
      <c r="H120">
        <f t="shared" si="6"/>
        <v>-1.5080726407889825E-2</v>
      </c>
      <c r="I120">
        <f t="shared" si="7"/>
        <v>5.8848905731918016E-3</v>
      </c>
      <c r="J120">
        <f t="shared" si="8"/>
        <v>-2.8581014914420531E-2</v>
      </c>
      <c r="K120">
        <f t="shared" si="9"/>
        <v>-1.8759966287094427E-4</v>
      </c>
      <c r="L120">
        <f t="shared" si="10"/>
        <v>4.1307054444578049E-3</v>
      </c>
      <c r="M120">
        <f t="shared" si="11"/>
        <v>3.0870397532746121E-3</v>
      </c>
    </row>
    <row r="121" spans="1:13" x14ac:dyDescent="0.2">
      <c r="A121" s="6">
        <v>45819</v>
      </c>
      <c r="B121" s="7">
        <v>143.93</v>
      </c>
      <c r="C121" s="7">
        <v>177.19</v>
      </c>
      <c r="D121" s="7">
        <v>692.36</v>
      </c>
      <c r="E121" s="7">
        <v>217.61</v>
      </c>
      <c r="F121" s="7">
        <v>95.58</v>
      </c>
      <c r="G121" s="7">
        <v>358.79</v>
      </c>
      <c r="H121">
        <f t="shared" si="6"/>
        <v>7.8119948097375462E-3</v>
      </c>
      <c r="I121">
        <f t="shared" si="7"/>
        <v>9.3556660060063954E-3</v>
      </c>
      <c r="J121">
        <f t="shared" si="8"/>
        <v>1.5252362275473956E-2</v>
      </c>
      <c r="K121">
        <f t="shared" si="9"/>
        <v>2.0473777516511894E-2</v>
      </c>
      <c r="L121">
        <f t="shared" si="10"/>
        <v>1.0200414433659244E-2</v>
      </c>
      <c r="M121">
        <f t="shared" si="11"/>
        <v>2.3690439273990671E-2</v>
      </c>
    </row>
    <row r="122" spans="1:13" x14ac:dyDescent="0.2">
      <c r="A122" s="6">
        <v>45818</v>
      </c>
      <c r="B122" s="7">
        <v>142.6</v>
      </c>
      <c r="C122" s="7">
        <v>178.44</v>
      </c>
      <c r="D122" s="7">
        <v>693.14</v>
      </c>
      <c r="E122" s="7">
        <v>216.98</v>
      </c>
      <c r="F122" s="7">
        <v>97.09</v>
      </c>
      <c r="G122" s="7">
        <v>356.12</v>
      </c>
      <c r="H122">
        <f t="shared" si="6"/>
        <v>-9.2835622943838719E-3</v>
      </c>
      <c r="I122">
        <f t="shared" si="7"/>
        <v>7.0298070900859464E-3</v>
      </c>
      <c r="J122">
        <f t="shared" si="8"/>
        <v>1.1259474303922103E-3</v>
      </c>
      <c r="K122">
        <f t="shared" si="9"/>
        <v>-2.8992864138967654E-3</v>
      </c>
      <c r="L122">
        <f t="shared" si="10"/>
        <v>1.5674790232041349E-2</v>
      </c>
      <c r="M122">
        <f t="shared" si="11"/>
        <v>-7.4695064107314219E-3</v>
      </c>
    </row>
    <row r="123" spans="1:13" x14ac:dyDescent="0.2">
      <c r="A123" s="6">
        <v>45814</v>
      </c>
      <c r="B123" s="7">
        <v>139.96</v>
      </c>
      <c r="C123" s="7">
        <v>175.93</v>
      </c>
      <c r="D123" s="7">
        <v>693.06</v>
      </c>
      <c r="E123" s="7">
        <v>207.91</v>
      </c>
      <c r="F123" s="7">
        <v>97.24</v>
      </c>
      <c r="G123" s="7">
        <v>360.81</v>
      </c>
      <c r="H123">
        <f t="shared" si="6"/>
        <v>-1.8686840480708206E-2</v>
      </c>
      <c r="I123">
        <f t="shared" si="7"/>
        <v>-1.4166221609109216E-2</v>
      </c>
      <c r="J123">
        <f t="shared" si="8"/>
        <v>-1.1542345994640634E-4</v>
      </c>
      <c r="K123">
        <f t="shared" si="9"/>
        <v>-4.2699889639007525E-2</v>
      </c>
      <c r="L123">
        <f t="shared" si="10"/>
        <v>1.5437660658690294E-3</v>
      </c>
      <c r="M123">
        <f t="shared" si="11"/>
        <v>1.3083751285164572E-2</v>
      </c>
    </row>
    <row r="124" spans="1:13" x14ac:dyDescent="0.2">
      <c r="A124" s="6">
        <v>45813</v>
      </c>
      <c r="B124" s="7">
        <v>141.88999999999999</v>
      </c>
      <c r="C124" s="7">
        <v>173.31</v>
      </c>
      <c r="D124" s="7">
        <v>696.7</v>
      </c>
      <c r="E124" s="7">
        <v>207.23</v>
      </c>
      <c r="F124" s="7">
        <v>97.73</v>
      </c>
      <c r="G124" s="7">
        <v>362.91</v>
      </c>
      <c r="H124">
        <f t="shared" si="6"/>
        <v>1.3695442019734622E-2</v>
      </c>
      <c r="I124">
        <f t="shared" si="7"/>
        <v>-1.5004290189670907E-2</v>
      </c>
      <c r="J124">
        <f t="shared" si="8"/>
        <v>5.2383265074293422E-3</v>
      </c>
      <c r="K124">
        <f t="shared" si="9"/>
        <v>-3.2760062059008425E-3</v>
      </c>
      <c r="L124">
        <f t="shared" si="10"/>
        <v>5.0264249028218353E-3</v>
      </c>
      <c r="M124">
        <f t="shared" si="11"/>
        <v>5.8033656492316194E-3</v>
      </c>
    </row>
    <row r="125" spans="1:13" x14ac:dyDescent="0.2">
      <c r="A125" s="6">
        <v>45811</v>
      </c>
      <c r="B125" s="7">
        <v>137.36000000000001</v>
      </c>
      <c r="C125" s="7">
        <v>167.7</v>
      </c>
      <c r="D125" s="7">
        <v>686.96</v>
      </c>
      <c r="E125" s="7">
        <v>206.65</v>
      </c>
      <c r="F125" s="7">
        <v>99.75</v>
      </c>
      <c r="G125" s="7">
        <v>364.84</v>
      </c>
      <c r="H125">
        <f t="shared" si="6"/>
        <v>-3.2446892930001671E-2</v>
      </c>
      <c r="I125">
        <f t="shared" si="7"/>
        <v>-3.2905229632120774E-2</v>
      </c>
      <c r="J125">
        <f t="shared" si="8"/>
        <v>-1.4078835671843971E-2</v>
      </c>
      <c r="K125">
        <f t="shared" si="9"/>
        <v>-2.8027465916547535E-3</v>
      </c>
      <c r="L125">
        <f t="shared" si="10"/>
        <v>2.045848141922841E-2</v>
      </c>
      <c r="M125">
        <f t="shared" si="11"/>
        <v>5.3040316720909461E-3</v>
      </c>
    </row>
    <row r="126" spans="1:13" x14ac:dyDescent="0.2">
      <c r="A126" s="6">
        <v>45810</v>
      </c>
      <c r="B126" s="7">
        <v>135.11000000000001</v>
      </c>
      <c r="C126" s="7">
        <v>165.83</v>
      </c>
      <c r="D126" s="7">
        <v>665.89</v>
      </c>
      <c r="E126" s="7">
        <v>205.01</v>
      </c>
      <c r="F126" s="7">
        <v>99.54</v>
      </c>
      <c r="G126" s="7">
        <v>365.65</v>
      </c>
      <c r="H126">
        <f t="shared" si="6"/>
        <v>-1.6515955117352394E-2</v>
      </c>
      <c r="I126">
        <f t="shared" si="7"/>
        <v>-1.121350160315557E-2</v>
      </c>
      <c r="J126">
        <f t="shared" si="8"/>
        <v>-3.1151574630273307E-2</v>
      </c>
      <c r="K126">
        <f t="shared" si="9"/>
        <v>-7.967782521257686E-3</v>
      </c>
      <c r="L126">
        <f t="shared" si="10"/>
        <v>-2.1074823395646983E-3</v>
      </c>
      <c r="M126">
        <f t="shared" si="11"/>
        <v>2.2176904050025996E-3</v>
      </c>
    </row>
    <row r="127" spans="1:13" x14ac:dyDescent="0.2">
      <c r="A127" s="6">
        <v>45807</v>
      </c>
      <c r="B127" s="7">
        <v>139.16</v>
      </c>
      <c r="C127" s="7">
        <v>168.67</v>
      </c>
      <c r="D127" s="7">
        <v>669.93</v>
      </c>
      <c r="E127" s="7">
        <v>205.7</v>
      </c>
      <c r="F127" s="7">
        <v>98.49</v>
      </c>
      <c r="G127" s="7">
        <v>366.31</v>
      </c>
      <c r="H127">
        <f t="shared" si="6"/>
        <v>2.9535088811873327E-2</v>
      </c>
      <c r="I127">
        <f t="shared" si="7"/>
        <v>1.6980976043915557E-2</v>
      </c>
      <c r="J127">
        <f t="shared" si="8"/>
        <v>6.0487375809494155E-3</v>
      </c>
      <c r="K127">
        <f t="shared" si="9"/>
        <v>3.360038222427795E-3</v>
      </c>
      <c r="L127">
        <f t="shared" si="10"/>
        <v>-1.0604553248797225E-2</v>
      </c>
      <c r="M127">
        <f t="shared" si="11"/>
        <v>1.8033777224696686E-3</v>
      </c>
    </row>
    <row r="128" spans="1:13" x14ac:dyDescent="0.2">
      <c r="A128" s="6">
        <v>45806</v>
      </c>
      <c r="B128" s="7">
        <v>134.79</v>
      </c>
      <c r="C128" s="7">
        <v>171.38</v>
      </c>
      <c r="D128" s="7">
        <v>646.55999999999995</v>
      </c>
      <c r="E128" s="7">
        <v>204.72</v>
      </c>
      <c r="F128" s="7">
        <v>96.87</v>
      </c>
      <c r="G128" s="7">
        <v>361.29</v>
      </c>
      <c r="H128">
        <f t="shared" si="6"/>
        <v>-3.1906338533563082E-2</v>
      </c>
      <c r="I128">
        <f t="shared" si="7"/>
        <v>1.5939169971049688E-2</v>
      </c>
      <c r="J128">
        <f t="shared" si="8"/>
        <v>-3.5507227984742006E-2</v>
      </c>
      <c r="K128">
        <f t="shared" si="9"/>
        <v>-4.7756048073781011E-3</v>
      </c>
      <c r="L128">
        <f t="shared" si="10"/>
        <v>-1.6585146743317392E-2</v>
      </c>
      <c r="M128">
        <f t="shared" si="11"/>
        <v>-1.3799009498931545E-2</v>
      </c>
    </row>
    <row r="129" spans="1:13" x14ac:dyDescent="0.2">
      <c r="A129" s="6">
        <v>45805</v>
      </c>
      <c r="B129" s="7">
        <v>135.47999999999999</v>
      </c>
      <c r="C129" s="7">
        <v>171.5</v>
      </c>
      <c r="D129" s="7">
        <v>644.12</v>
      </c>
      <c r="E129" s="7">
        <v>206.02</v>
      </c>
      <c r="F129" s="7">
        <v>97.01</v>
      </c>
      <c r="G129" s="7">
        <v>361.61</v>
      </c>
      <c r="H129">
        <f t="shared" si="6"/>
        <v>5.10601619939268E-3</v>
      </c>
      <c r="I129">
        <f t="shared" si="7"/>
        <v>6.9995336502197934E-4</v>
      </c>
      <c r="J129">
        <f t="shared" si="8"/>
        <v>-3.7809571803682335E-3</v>
      </c>
      <c r="K129">
        <f t="shared" si="9"/>
        <v>6.3300596040141077E-3</v>
      </c>
      <c r="L129">
        <f t="shared" si="10"/>
        <v>1.4441925348985473E-3</v>
      </c>
      <c r="M129">
        <f t="shared" si="11"/>
        <v>8.8532306239109428E-4</v>
      </c>
    </row>
    <row r="130" spans="1:13" x14ac:dyDescent="0.2">
      <c r="A130" s="6">
        <v>45804</v>
      </c>
      <c r="B130" s="7">
        <v>131.27000000000001</v>
      </c>
      <c r="C130" s="7">
        <v>172</v>
      </c>
      <c r="D130" s="7">
        <v>642.65</v>
      </c>
      <c r="E130" s="7">
        <v>200.99</v>
      </c>
      <c r="F130" s="7">
        <v>97.35</v>
      </c>
      <c r="G130" s="7">
        <v>361.61</v>
      </c>
      <c r="H130">
        <f t="shared" si="6"/>
        <v>-3.1567757134254762E-2</v>
      </c>
      <c r="I130">
        <f t="shared" si="7"/>
        <v>2.9112102074585343E-3</v>
      </c>
      <c r="J130">
        <f t="shared" si="8"/>
        <v>-2.2847915936544871E-3</v>
      </c>
      <c r="K130">
        <f t="shared" si="9"/>
        <v>-2.4718095877886894E-2</v>
      </c>
      <c r="L130">
        <f t="shared" si="10"/>
        <v>3.4986658450163518E-3</v>
      </c>
      <c r="M130">
        <f t="shared" si="11"/>
        <v>0</v>
      </c>
    </row>
    <row r="131" spans="1:13" x14ac:dyDescent="0.2">
      <c r="A131" s="6">
        <v>45800</v>
      </c>
      <c r="B131" s="7">
        <v>132.81</v>
      </c>
      <c r="C131" s="7">
        <v>172.54</v>
      </c>
      <c r="D131" s="7">
        <v>641.39</v>
      </c>
      <c r="E131" s="7">
        <v>203.1</v>
      </c>
      <c r="F131" s="7">
        <v>96.12</v>
      </c>
      <c r="G131" s="7">
        <v>361.39</v>
      </c>
      <c r="H131">
        <f t="shared" si="6"/>
        <v>1.1663264596843239E-2</v>
      </c>
      <c r="I131">
        <f t="shared" si="7"/>
        <v>3.1346168349796221E-3</v>
      </c>
      <c r="J131">
        <f t="shared" si="8"/>
        <v>-1.9625563135429792E-3</v>
      </c>
      <c r="K131">
        <f t="shared" si="9"/>
        <v>1.044331300867845E-2</v>
      </c>
      <c r="L131">
        <f t="shared" si="10"/>
        <v>-1.271532094994047E-2</v>
      </c>
      <c r="M131">
        <f t="shared" si="11"/>
        <v>-6.0857539914258821E-4</v>
      </c>
    </row>
    <row r="132" spans="1:13" x14ac:dyDescent="0.2">
      <c r="A132" s="6">
        <v>45799</v>
      </c>
      <c r="B132" s="7">
        <v>131.78</v>
      </c>
      <c r="C132" s="7">
        <v>168.12</v>
      </c>
      <c r="D132" s="7">
        <v>626.16</v>
      </c>
      <c r="E132" s="7">
        <v>201.12</v>
      </c>
      <c r="F132" s="7">
        <v>95.71</v>
      </c>
      <c r="G132" s="7">
        <v>363.68</v>
      </c>
      <c r="H132">
        <f t="shared" ref="H132:H195" si="12">LN(B132/B131)</f>
        <v>-7.7856699264855092E-3</v>
      </c>
      <c r="I132">
        <f t="shared" ref="I132:I195" si="13">LN(C132/C131)</f>
        <v>-2.5951083511516693E-2</v>
      </c>
      <c r="J132">
        <f t="shared" ref="J132:J195" si="14">LN(D132/D131)</f>
        <v>-2.4031766746015249E-2</v>
      </c>
      <c r="K132">
        <f t="shared" ref="K132:K195" si="15">LN(E132/E131)</f>
        <v>-9.7967237444016569E-3</v>
      </c>
      <c r="L132">
        <f t="shared" ref="L132:L195" si="16">LN(F132/F131)</f>
        <v>-4.2746246604532098E-3</v>
      </c>
      <c r="M132">
        <f t="shared" ref="M132:M195" si="17">LN(G132/G131)</f>
        <v>6.3166525004862582E-3</v>
      </c>
    </row>
    <row r="133" spans="1:13" x14ac:dyDescent="0.2">
      <c r="A133" s="6">
        <v>45798</v>
      </c>
      <c r="B133" s="7">
        <v>134.36000000000001</v>
      </c>
      <c r="C133" s="7">
        <v>170.51</v>
      </c>
      <c r="D133" s="7">
        <v>635.65</v>
      </c>
      <c r="E133" s="7">
        <v>204.07</v>
      </c>
      <c r="F133" s="7">
        <v>96.21</v>
      </c>
      <c r="G133" s="7">
        <v>356.13</v>
      </c>
      <c r="H133">
        <f t="shared" si="12"/>
        <v>1.9388899258418225E-2</v>
      </c>
      <c r="I133">
        <f t="shared" si="13"/>
        <v>1.4115935893144173E-2</v>
      </c>
      <c r="J133">
        <f t="shared" si="14"/>
        <v>1.5042167899548755E-2</v>
      </c>
      <c r="K133">
        <f t="shared" si="15"/>
        <v>1.4561327399057038E-2</v>
      </c>
      <c r="L133">
        <f t="shared" si="16"/>
        <v>5.2105161653582237E-3</v>
      </c>
      <c r="M133">
        <f t="shared" si="17"/>
        <v>-2.0978527370680775E-2</v>
      </c>
    </row>
    <row r="134" spans="1:13" x14ac:dyDescent="0.2">
      <c r="A134" s="6">
        <v>45797</v>
      </c>
      <c r="B134" s="7">
        <v>135.55000000000001</v>
      </c>
      <c r="C134" s="7">
        <v>168.21</v>
      </c>
      <c r="D134" s="7">
        <v>634.58000000000004</v>
      </c>
      <c r="E134" s="7">
        <v>206.16</v>
      </c>
      <c r="F134" s="7">
        <v>97.57</v>
      </c>
      <c r="G134" s="7">
        <v>359.49</v>
      </c>
      <c r="H134">
        <f t="shared" si="12"/>
        <v>8.81781120058245E-3</v>
      </c>
      <c r="I134">
        <f t="shared" si="13"/>
        <v>-1.3580747226369294E-2</v>
      </c>
      <c r="J134">
        <f t="shared" si="14"/>
        <v>-1.6847346592104284E-3</v>
      </c>
      <c r="K134">
        <f t="shared" si="15"/>
        <v>1.0189494103115279E-2</v>
      </c>
      <c r="L134">
        <f t="shared" si="16"/>
        <v>1.4036766746685376E-2</v>
      </c>
      <c r="M134">
        <f t="shared" si="17"/>
        <v>9.3905276289826464E-3</v>
      </c>
    </row>
    <row r="135" spans="1:13" x14ac:dyDescent="0.2">
      <c r="A135" s="6">
        <v>45796</v>
      </c>
      <c r="B135" s="7">
        <v>135.38</v>
      </c>
      <c r="C135" s="7">
        <v>163.63999999999999</v>
      </c>
      <c r="D135" s="7">
        <v>636.17999999999995</v>
      </c>
      <c r="E135" s="7">
        <v>205.59</v>
      </c>
      <c r="F135" s="7">
        <v>97.89</v>
      </c>
      <c r="G135" s="7">
        <v>364.12</v>
      </c>
      <c r="H135">
        <f t="shared" si="12"/>
        <v>-1.2549368642130745E-3</v>
      </c>
      <c r="I135">
        <f t="shared" si="13"/>
        <v>-2.7544305742493173E-2</v>
      </c>
      <c r="J135">
        <f t="shared" si="14"/>
        <v>2.5181794288406732E-3</v>
      </c>
      <c r="K135">
        <f t="shared" si="15"/>
        <v>-2.7686720782675376E-3</v>
      </c>
      <c r="L135">
        <f t="shared" si="16"/>
        <v>3.2743301534803094E-3</v>
      </c>
      <c r="M135">
        <f t="shared" si="17"/>
        <v>1.2797123274553174E-2</v>
      </c>
    </row>
    <row r="136" spans="1:13" x14ac:dyDescent="0.2">
      <c r="A136" s="6">
        <v>45793</v>
      </c>
      <c r="B136" s="7">
        <v>134.81</v>
      </c>
      <c r="C136" s="7">
        <v>166.19</v>
      </c>
      <c r="D136" s="7">
        <v>639.51</v>
      </c>
      <c r="E136" s="7">
        <v>205.17</v>
      </c>
      <c r="F136" s="7">
        <v>98.01</v>
      </c>
      <c r="G136" s="7">
        <v>370.21</v>
      </c>
      <c r="H136">
        <f t="shared" si="12"/>
        <v>-4.2192593774888652E-3</v>
      </c>
      <c r="I136">
        <f t="shared" si="13"/>
        <v>1.5462819078234113E-2</v>
      </c>
      <c r="J136">
        <f t="shared" si="14"/>
        <v>5.2207159474509665E-3</v>
      </c>
      <c r="K136">
        <f t="shared" si="15"/>
        <v>-2.0449904877277076E-3</v>
      </c>
      <c r="L136">
        <f t="shared" si="16"/>
        <v>1.2251150077495559E-3</v>
      </c>
      <c r="M136">
        <f t="shared" si="17"/>
        <v>1.6586928563195744E-2</v>
      </c>
    </row>
    <row r="137" spans="1:13" x14ac:dyDescent="0.2">
      <c r="A137" s="6">
        <v>45792</v>
      </c>
      <c r="B137" s="7">
        <v>135.32</v>
      </c>
      <c r="C137" s="7">
        <v>165.84</v>
      </c>
      <c r="D137" s="7">
        <v>639.41999999999996</v>
      </c>
      <c r="E137" s="7">
        <v>210.25</v>
      </c>
      <c r="F137" s="7">
        <v>96.13</v>
      </c>
      <c r="G137" s="7">
        <v>372.5</v>
      </c>
      <c r="H137">
        <f t="shared" si="12"/>
        <v>3.7759642095349143E-3</v>
      </c>
      <c r="I137">
        <f t="shared" si="13"/>
        <v>-2.1082440119076615E-3</v>
      </c>
      <c r="J137">
        <f t="shared" si="14"/>
        <v>-1.4074265229312822E-4</v>
      </c>
      <c r="K137">
        <f t="shared" si="15"/>
        <v>2.4458395074943164E-2</v>
      </c>
      <c r="L137">
        <f t="shared" si="16"/>
        <v>-1.9368072203363746E-2</v>
      </c>
      <c r="M137">
        <f t="shared" si="17"/>
        <v>6.1666256193302097E-3</v>
      </c>
    </row>
    <row r="138" spans="1:13" x14ac:dyDescent="0.2">
      <c r="A138" s="6">
        <v>45791</v>
      </c>
      <c r="B138" s="7">
        <v>129.91</v>
      </c>
      <c r="C138" s="7">
        <v>163.62</v>
      </c>
      <c r="D138" s="7">
        <v>642.95000000000005</v>
      </c>
      <c r="E138" s="7">
        <v>211.37</v>
      </c>
      <c r="F138" s="7">
        <v>96.6</v>
      </c>
      <c r="G138" s="7">
        <v>373.88</v>
      </c>
      <c r="H138">
        <f t="shared" si="12"/>
        <v>-4.0800440904866259E-2</v>
      </c>
      <c r="I138">
        <f t="shared" si="13"/>
        <v>-1.3476802041971957E-2</v>
      </c>
      <c r="J138">
        <f t="shared" si="14"/>
        <v>5.5054452555281987E-3</v>
      </c>
      <c r="K138">
        <f t="shared" si="15"/>
        <v>5.3128534436878974E-3</v>
      </c>
      <c r="L138">
        <f t="shared" si="16"/>
        <v>4.8772991407475888E-3</v>
      </c>
      <c r="M138">
        <f t="shared" si="17"/>
        <v>3.6978524947684204E-3</v>
      </c>
    </row>
    <row r="139" spans="1:13" x14ac:dyDescent="0.2">
      <c r="A139" s="6">
        <v>45790</v>
      </c>
      <c r="B139" s="7">
        <v>122.98</v>
      </c>
      <c r="C139" s="7">
        <v>165.02</v>
      </c>
      <c r="D139" s="7">
        <v>658.41</v>
      </c>
      <c r="E139" s="7">
        <v>208.64</v>
      </c>
      <c r="F139" s="7">
        <v>95.66</v>
      </c>
      <c r="G139" s="7">
        <v>371.76</v>
      </c>
      <c r="H139">
        <f t="shared" si="12"/>
        <v>-5.4820162482317782E-2</v>
      </c>
      <c r="I139">
        <f t="shared" si="13"/>
        <v>8.5200125906449257E-3</v>
      </c>
      <c r="J139">
        <f t="shared" si="14"/>
        <v>2.3760876866428911E-2</v>
      </c>
      <c r="K139">
        <f t="shared" si="15"/>
        <v>-1.2999873558457315E-2</v>
      </c>
      <c r="L139">
        <f t="shared" si="16"/>
        <v>-9.7785029663214496E-3</v>
      </c>
      <c r="M139">
        <f t="shared" si="17"/>
        <v>-5.6864055376597555E-3</v>
      </c>
    </row>
    <row r="140" spans="1:13" x14ac:dyDescent="0.2">
      <c r="A140" s="6">
        <v>45789</v>
      </c>
      <c r="B140" s="7">
        <v>116.63</v>
      </c>
      <c r="C140" s="7">
        <v>159.19</v>
      </c>
      <c r="D140" s="7">
        <v>655.08000000000004</v>
      </c>
      <c r="E140" s="7">
        <v>193.06</v>
      </c>
      <c r="F140" s="7">
        <v>96.52</v>
      </c>
      <c r="G140" s="7">
        <v>366.05</v>
      </c>
      <c r="H140">
        <f t="shared" si="12"/>
        <v>-5.3015209822365225E-2</v>
      </c>
      <c r="I140">
        <f t="shared" si="13"/>
        <v>-3.5968221309152629E-2</v>
      </c>
      <c r="J140">
        <f t="shared" si="14"/>
        <v>-5.0704720012102111E-3</v>
      </c>
      <c r="K140">
        <f t="shared" si="15"/>
        <v>-7.7609257317819008E-2</v>
      </c>
      <c r="L140">
        <f t="shared" si="16"/>
        <v>8.9500025046801469E-3</v>
      </c>
      <c r="M140">
        <f t="shared" si="17"/>
        <v>-1.5478548684071114E-2</v>
      </c>
    </row>
    <row r="141" spans="1:13" x14ac:dyDescent="0.2">
      <c r="A141" s="6">
        <v>45785</v>
      </c>
      <c r="B141" s="7">
        <v>117.04</v>
      </c>
      <c r="C141" s="7">
        <v>152.43</v>
      </c>
      <c r="D141" s="7">
        <v>591.64</v>
      </c>
      <c r="E141" s="7">
        <v>188.71</v>
      </c>
      <c r="F141" s="7">
        <v>96.49</v>
      </c>
      <c r="G141" s="7">
        <v>369.76</v>
      </c>
      <c r="H141">
        <f t="shared" si="12"/>
        <v>3.5092260089103467E-3</v>
      </c>
      <c r="I141">
        <f t="shared" si="13"/>
        <v>-4.3392983093294216E-2</v>
      </c>
      <c r="J141">
        <f t="shared" si="14"/>
        <v>-0.10185902377849744</v>
      </c>
      <c r="K141">
        <f t="shared" si="15"/>
        <v>-2.2789576279464766E-2</v>
      </c>
      <c r="L141">
        <f t="shared" si="16"/>
        <v>-3.1086472453856684E-4</v>
      </c>
      <c r="M141">
        <f t="shared" si="17"/>
        <v>1.0084210433418835E-2</v>
      </c>
    </row>
    <row r="142" spans="1:13" x14ac:dyDescent="0.2">
      <c r="A142" s="6">
        <v>45784</v>
      </c>
      <c r="B142" s="7">
        <v>113.52</v>
      </c>
      <c r="C142" s="7">
        <v>153.96</v>
      </c>
      <c r="D142" s="7">
        <v>597.15</v>
      </c>
      <c r="E142" s="7">
        <v>185.01</v>
      </c>
      <c r="F142" s="7">
        <v>96.97</v>
      </c>
      <c r="G142" s="7">
        <v>356.13</v>
      </c>
      <c r="H142">
        <f t="shared" si="12"/>
        <v>-3.0536723860081764E-2</v>
      </c>
      <c r="I142">
        <f t="shared" si="13"/>
        <v>9.9873541417952044E-3</v>
      </c>
      <c r="J142">
        <f t="shared" si="14"/>
        <v>9.2699963112665897E-3</v>
      </c>
      <c r="K142">
        <f t="shared" si="15"/>
        <v>-1.9801567469493291E-2</v>
      </c>
      <c r="L142">
        <f t="shared" si="16"/>
        <v>4.9622762841625076E-3</v>
      </c>
      <c r="M142">
        <f t="shared" si="17"/>
        <v>-3.7558313792518339E-2</v>
      </c>
    </row>
    <row r="143" spans="1:13" x14ac:dyDescent="0.2">
      <c r="A143" s="6">
        <v>45783</v>
      </c>
      <c r="B143" s="7">
        <v>113.8</v>
      </c>
      <c r="C143" s="7">
        <v>151.06</v>
      </c>
      <c r="D143" s="7">
        <v>595.95000000000005</v>
      </c>
      <c r="E143" s="7">
        <v>186.35</v>
      </c>
      <c r="F143" s="7">
        <v>98.36</v>
      </c>
      <c r="G143" s="7">
        <v>358.24</v>
      </c>
      <c r="H143">
        <f t="shared" si="12"/>
        <v>2.4634888404433922E-3</v>
      </c>
      <c r="I143">
        <f t="shared" si="13"/>
        <v>-1.9015719530243516E-2</v>
      </c>
      <c r="J143">
        <f t="shared" si="14"/>
        <v>-2.011567185718197E-3</v>
      </c>
      <c r="K143">
        <f t="shared" si="15"/>
        <v>7.2167482537562394E-3</v>
      </c>
      <c r="L143">
        <f t="shared" si="16"/>
        <v>1.4232565031536956E-2</v>
      </c>
      <c r="M143">
        <f t="shared" si="17"/>
        <v>5.9073201168924061E-3</v>
      </c>
    </row>
    <row r="144" spans="1:13" x14ac:dyDescent="0.2">
      <c r="A144" s="6">
        <v>45782</v>
      </c>
      <c r="B144" s="7">
        <v>114.48</v>
      </c>
      <c r="C144" s="7">
        <v>162.88999999999999</v>
      </c>
      <c r="D144" s="7">
        <v>586.46</v>
      </c>
      <c r="E144" s="7">
        <v>189.98</v>
      </c>
      <c r="F144" s="7">
        <v>98.08</v>
      </c>
      <c r="G144" s="7">
        <v>356.17</v>
      </c>
      <c r="H144">
        <f t="shared" si="12"/>
        <v>5.9576135559650783E-3</v>
      </c>
      <c r="I144">
        <f t="shared" si="13"/>
        <v>7.5398017484211641E-2</v>
      </c>
      <c r="J144">
        <f t="shared" si="14"/>
        <v>-1.6052306354515593E-2</v>
      </c>
      <c r="K144">
        <f t="shared" si="15"/>
        <v>1.9292177536768856E-2</v>
      </c>
      <c r="L144">
        <f t="shared" si="16"/>
        <v>-2.850745160090607E-3</v>
      </c>
      <c r="M144">
        <f t="shared" si="17"/>
        <v>-5.7950078887805262E-3</v>
      </c>
    </row>
    <row r="145" spans="1:13" x14ac:dyDescent="0.2">
      <c r="A145" s="6">
        <v>45779</v>
      </c>
      <c r="B145" s="7">
        <v>111.59</v>
      </c>
      <c r="C145" s="7">
        <v>163.86</v>
      </c>
      <c r="D145" s="7">
        <v>598.41</v>
      </c>
      <c r="E145" s="7">
        <v>190.2</v>
      </c>
      <c r="F145" s="7">
        <v>98.86</v>
      </c>
      <c r="G145" s="7">
        <v>352.86</v>
      </c>
      <c r="H145">
        <f t="shared" si="12"/>
        <v>-2.5568695050585646E-2</v>
      </c>
      <c r="I145">
        <f t="shared" si="13"/>
        <v>5.9372783441550758E-3</v>
      </c>
      <c r="J145">
        <f t="shared" si="14"/>
        <v>2.0171673176380668E-2</v>
      </c>
      <c r="K145">
        <f t="shared" si="15"/>
        <v>1.1573466492535358E-3</v>
      </c>
      <c r="L145">
        <f t="shared" si="16"/>
        <v>7.9212356909119826E-3</v>
      </c>
      <c r="M145">
        <f t="shared" si="17"/>
        <v>-9.3367672617445611E-3</v>
      </c>
    </row>
    <row r="146" spans="1:13" x14ac:dyDescent="0.2">
      <c r="A146" s="6">
        <v>45778</v>
      </c>
      <c r="B146" s="7">
        <v>108.9</v>
      </c>
      <c r="C146" s="7">
        <v>163.69</v>
      </c>
      <c r="D146" s="7">
        <v>596.16</v>
      </c>
      <c r="E146" s="7">
        <v>184.42</v>
      </c>
      <c r="F146" s="7">
        <v>98.28</v>
      </c>
      <c r="G146" s="7">
        <v>355.17</v>
      </c>
      <c r="H146">
        <f t="shared" si="12"/>
        <v>-2.4401410258695092E-2</v>
      </c>
      <c r="I146">
        <f t="shared" si="13"/>
        <v>-1.0380095574055196E-3</v>
      </c>
      <c r="J146">
        <f t="shared" si="14"/>
        <v>-3.7670503373593294E-3</v>
      </c>
      <c r="K146">
        <f t="shared" si="15"/>
        <v>-3.0860385000294737E-2</v>
      </c>
      <c r="L146">
        <f t="shared" si="16"/>
        <v>-5.884160225834884E-3</v>
      </c>
      <c r="M146">
        <f t="shared" si="17"/>
        <v>6.5251703917348965E-3</v>
      </c>
    </row>
    <row r="147" spans="1:13" x14ac:dyDescent="0.2">
      <c r="A147" s="6">
        <v>45777</v>
      </c>
      <c r="B147" s="7">
        <v>109</v>
      </c>
      <c r="C147" s="7">
        <v>160.96</v>
      </c>
      <c r="D147" s="7">
        <v>571.38</v>
      </c>
      <c r="E147" s="7">
        <v>187.39</v>
      </c>
      <c r="F147" s="7">
        <v>96.95</v>
      </c>
      <c r="G147" s="7">
        <v>357.91</v>
      </c>
      <c r="H147">
        <f t="shared" si="12"/>
        <v>9.1785229022895971E-4</v>
      </c>
      <c r="I147">
        <f t="shared" si="13"/>
        <v>-1.68185082448888E-2</v>
      </c>
      <c r="J147">
        <f t="shared" si="14"/>
        <v>-4.2454599979213893E-2</v>
      </c>
      <c r="K147">
        <f t="shared" si="15"/>
        <v>1.5976241476579348E-2</v>
      </c>
      <c r="L147">
        <f t="shared" si="16"/>
        <v>-1.362516596431758E-2</v>
      </c>
      <c r="M147">
        <f t="shared" si="17"/>
        <v>7.6850100555667464E-3</v>
      </c>
    </row>
    <row r="148" spans="1:13" x14ac:dyDescent="0.2">
      <c r="A148" s="6">
        <v>45776</v>
      </c>
      <c r="B148" s="7">
        <v>108.71</v>
      </c>
      <c r="C148" s="7">
        <v>158.47</v>
      </c>
      <c r="D148" s="7">
        <v>548.21</v>
      </c>
      <c r="E148" s="7">
        <v>187.7</v>
      </c>
      <c r="F148" s="7">
        <v>96.79</v>
      </c>
      <c r="G148" s="7">
        <v>351.8</v>
      </c>
      <c r="H148">
        <f t="shared" si="12"/>
        <v>-2.6640960132347023E-3</v>
      </c>
      <c r="I148">
        <f t="shared" si="13"/>
        <v>-1.5590585956657591E-2</v>
      </c>
      <c r="J148">
        <f t="shared" si="14"/>
        <v>-4.1396062214004374E-2</v>
      </c>
      <c r="K148">
        <f t="shared" si="15"/>
        <v>1.6529370048886591E-3</v>
      </c>
      <c r="L148">
        <f t="shared" si="16"/>
        <v>-1.6516985276635824E-3</v>
      </c>
      <c r="M148">
        <f t="shared" si="17"/>
        <v>-1.7218725843763379E-2</v>
      </c>
    </row>
    <row r="149" spans="1:13" x14ac:dyDescent="0.2">
      <c r="A149" s="6">
        <v>45775</v>
      </c>
      <c r="B149" s="7">
        <v>110.99</v>
      </c>
      <c r="C149" s="7">
        <v>159.82</v>
      </c>
      <c r="D149" s="7">
        <v>553.64</v>
      </c>
      <c r="E149" s="7">
        <v>188.99</v>
      </c>
      <c r="F149" s="7">
        <v>95.59</v>
      </c>
      <c r="G149" s="7">
        <v>353.95</v>
      </c>
      <c r="H149">
        <f t="shared" si="12"/>
        <v>2.0756320947979204E-2</v>
      </c>
      <c r="I149">
        <f t="shared" si="13"/>
        <v>8.4828809915997658E-3</v>
      </c>
      <c r="J149">
        <f t="shared" si="14"/>
        <v>9.856230808495875E-3</v>
      </c>
      <c r="K149">
        <f t="shared" si="15"/>
        <v>6.8491600144831395E-3</v>
      </c>
      <c r="L149">
        <f t="shared" si="16"/>
        <v>-1.2475471085326045E-2</v>
      </c>
      <c r="M149">
        <f t="shared" si="17"/>
        <v>6.0928279167403697E-3</v>
      </c>
    </row>
    <row r="150" spans="1:13" x14ac:dyDescent="0.2">
      <c r="A150" s="6">
        <v>45772</v>
      </c>
      <c r="B150" s="7">
        <v>106.41</v>
      </c>
      <c r="C150" s="7">
        <v>160.27000000000001</v>
      </c>
      <c r="D150" s="7">
        <v>548.95000000000005</v>
      </c>
      <c r="E150" s="7">
        <v>186.54</v>
      </c>
      <c r="F150" s="7">
        <v>94.77</v>
      </c>
      <c r="G150" s="7">
        <v>352.49</v>
      </c>
      <c r="H150">
        <f t="shared" si="12"/>
        <v>-4.2140549710248006E-2</v>
      </c>
      <c r="I150">
        <f t="shared" si="13"/>
        <v>2.8117110591674779E-3</v>
      </c>
      <c r="J150">
        <f t="shared" si="14"/>
        <v>-8.5072933477597073E-3</v>
      </c>
      <c r="K150">
        <f t="shared" si="15"/>
        <v>-1.3048410308228712E-2</v>
      </c>
      <c r="L150">
        <f t="shared" si="16"/>
        <v>-8.6153085935677578E-3</v>
      </c>
      <c r="M150">
        <f t="shared" si="17"/>
        <v>-4.1334071646029098E-3</v>
      </c>
    </row>
    <row r="151" spans="1:13" x14ac:dyDescent="0.2">
      <c r="A151" s="6">
        <v>45771</v>
      </c>
      <c r="B151" s="7">
        <v>102.69</v>
      </c>
      <c r="C151" s="7">
        <v>161.62</v>
      </c>
      <c r="D151" s="7">
        <v>546.48</v>
      </c>
      <c r="E151" s="7">
        <v>180.6</v>
      </c>
      <c r="F151" s="7">
        <v>94.64</v>
      </c>
      <c r="G151" s="7">
        <v>350.45</v>
      </c>
      <c r="H151">
        <f t="shared" si="12"/>
        <v>-3.5584816243436526E-2</v>
      </c>
      <c r="I151">
        <f t="shared" si="13"/>
        <v>8.3880077998174825E-3</v>
      </c>
      <c r="J151">
        <f t="shared" si="14"/>
        <v>-4.5096522571475787E-3</v>
      </c>
      <c r="K151">
        <f t="shared" si="15"/>
        <v>-3.2361052315832389E-2</v>
      </c>
      <c r="L151">
        <f t="shared" si="16"/>
        <v>-1.3726838119721356E-3</v>
      </c>
      <c r="M151">
        <f t="shared" si="17"/>
        <v>-5.804210109261544E-3</v>
      </c>
    </row>
    <row r="152" spans="1:13" x14ac:dyDescent="0.2">
      <c r="A152" s="6">
        <v>45770</v>
      </c>
      <c r="B152" s="7">
        <v>98.87</v>
      </c>
      <c r="C152" s="7">
        <v>158.94999999999999</v>
      </c>
      <c r="D152" s="7">
        <v>532.38</v>
      </c>
      <c r="E152" s="7">
        <v>173.18</v>
      </c>
      <c r="F152" s="7">
        <v>95.39</v>
      </c>
      <c r="G152" s="7">
        <v>351.1</v>
      </c>
      <c r="H152">
        <f t="shared" si="12"/>
        <v>-3.7908885301162008E-2</v>
      </c>
      <c r="I152">
        <f t="shared" si="13"/>
        <v>-1.6658213448489948E-2</v>
      </c>
      <c r="J152">
        <f t="shared" si="14"/>
        <v>-2.6140190348292489E-2</v>
      </c>
      <c r="K152">
        <f t="shared" si="15"/>
        <v>-4.1953124963229789E-2</v>
      </c>
      <c r="L152">
        <f t="shared" si="16"/>
        <v>7.8935314869853536E-3</v>
      </c>
      <c r="M152">
        <f t="shared" si="17"/>
        <v>1.8530402280528509E-3</v>
      </c>
    </row>
    <row r="153" spans="1:13" x14ac:dyDescent="0.2">
      <c r="A153" s="6">
        <v>45769</v>
      </c>
      <c r="B153" s="7">
        <v>96.89</v>
      </c>
      <c r="C153" s="7">
        <v>155.02000000000001</v>
      </c>
      <c r="D153" s="7">
        <v>519.52</v>
      </c>
      <c r="E153" s="7">
        <v>167.32</v>
      </c>
      <c r="F153" s="7">
        <v>94.51</v>
      </c>
      <c r="G153" s="7">
        <v>353.12</v>
      </c>
      <c r="H153">
        <f t="shared" si="12"/>
        <v>-2.0229541512128919E-2</v>
      </c>
      <c r="I153">
        <f t="shared" si="13"/>
        <v>-2.5035546503446224E-2</v>
      </c>
      <c r="J153">
        <f t="shared" si="14"/>
        <v>-2.4452211720765664E-2</v>
      </c>
      <c r="K153">
        <f t="shared" si="15"/>
        <v>-3.4423369445657499E-2</v>
      </c>
      <c r="L153">
        <f t="shared" si="16"/>
        <v>-9.268102150151912E-3</v>
      </c>
      <c r="M153">
        <f t="shared" si="17"/>
        <v>5.7368593340396479E-3</v>
      </c>
    </row>
    <row r="154" spans="1:13" x14ac:dyDescent="0.2">
      <c r="A154" s="6">
        <v>45768</v>
      </c>
      <c r="B154" s="7">
        <v>101.47</v>
      </c>
      <c r="C154" s="7">
        <v>151.15</v>
      </c>
      <c r="D154" s="7">
        <v>499.56</v>
      </c>
      <c r="E154" s="7">
        <v>172.61</v>
      </c>
      <c r="F154" s="7">
        <v>94.4</v>
      </c>
      <c r="G154" s="7">
        <v>349.96</v>
      </c>
      <c r="H154">
        <f t="shared" si="12"/>
        <v>4.6186873894078682E-2</v>
      </c>
      <c r="I154">
        <f t="shared" si="13"/>
        <v>-2.5281419627898361E-2</v>
      </c>
      <c r="J154">
        <f t="shared" si="14"/>
        <v>-3.9177597359651456E-2</v>
      </c>
      <c r="K154">
        <f t="shared" si="15"/>
        <v>3.1126567824600406E-2</v>
      </c>
      <c r="L154">
        <f t="shared" si="16"/>
        <v>-1.1645758555097726E-3</v>
      </c>
      <c r="M154">
        <f t="shared" si="17"/>
        <v>-8.989080270362498E-3</v>
      </c>
    </row>
    <row r="155" spans="1:13" x14ac:dyDescent="0.2">
      <c r="A155" s="6">
        <v>45764</v>
      </c>
      <c r="B155" s="7">
        <v>104.47</v>
      </c>
      <c r="C155" s="7">
        <v>147.36000000000001</v>
      </c>
      <c r="D155" s="7">
        <v>483.96</v>
      </c>
      <c r="E155" s="7">
        <v>174.33</v>
      </c>
      <c r="F155" s="7">
        <v>91.97</v>
      </c>
      <c r="G155" s="7">
        <v>348</v>
      </c>
      <c r="H155">
        <f t="shared" si="12"/>
        <v>2.9136760558425151E-2</v>
      </c>
      <c r="I155">
        <f t="shared" si="13"/>
        <v>-2.5394148718470295E-2</v>
      </c>
      <c r="J155">
        <f t="shared" si="14"/>
        <v>-3.172545232160736E-2</v>
      </c>
      <c r="K155">
        <f t="shared" si="15"/>
        <v>9.9153403565260291E-3</v>
      </c>
      <c r="L155">
        <f t="shared" si="16"/>
        <v>-2.6078636236848831E-2</v>
      </c>
      <c r="M155">
        <f t="shared" si="17"/>
        <v>-5.6163824635894338E-3</v>
      </c>
    </row>
    <row r="156" spans="1:13" x14ac:dyDescent="0.2">
      <c r="A156" s="6">
        <v>45763</v>
      </c>
      <c r="B156" s="7">
        <v>112.18</v>
      </c>
      <c r="C156" s="7">
        <v>150.84</v>
      </c>
      <c r="D156" s="7">
        <v>500.76</v>
      </c>
      <c r="E156" s="7">
        <v>179.59</v>
      </c>
      <c r="F156" s="7">
        <v>92.78</v>
      </c>
      <c r="G156" s="7">
        <v>340.61</v>
      </c>
      <c r="H156">
        <f t="shared" si="12"/>
        <v>7.1204775230774328E-2</v>
      </c>
      <c r="I156">
        <f t="shared" si="13"/>
        <v>2.3341099883159553E-2</v>
      </c>
      <c r="J156">
        <f t="shared" si="14"/>
        <v>3.4124685718184458E-2</v>
      </c>
      <c r="K156">
        <f t="shared" si="15"/>
        <v>2.9726420275521154E-2</v>
      </c>
      <c r="L156">
        <f t="shared" si="16"/>
        <v>8.7686624089914796E-3</v>
      </c>
      <c r="M156">
        <f t="shared" si="17"/>
        <v>-2.1464352023857297E-2</v>
      </c>
    </row>
    <row r="157" spans="1:13" x14ac:dyDescent="0.2">
      <c r="A157" s="6">
        <v>45762</v>
      </c>
      <c r="B157" s="7">
        <v>110.69</v>
      </c>
      <c r="C157" s="7">
        <v>153.01</v>
      </c>
      <c r="D157" s="7">
        <v>501.59</v>
      </c>
      <c r="E157" s="7">
        <v>182.12</v>
      </c>
      <c r="F157" s="7">
        <v>90.76</v>
      </c>
      <c r="G157" s="7">
        <v>348.62</v>
      </c>
      <c r="H157">
        <f t="shared" si="12"/>
        <v>-1.3371222682658369E-2</v>
      </c>
      <c r="I157">
        <f t="shared" si="13"/>
        <v>1.4283606343565696E-2</v>
      </c>
      <c r="J157">
        <f t="shared" si="14"/>
        <v>1.6561085243738142E-3</v>
      </c>
      <c r="K157">
        <f t="shared" si="15"/>
        <v>1.3989335435936301E-2</v>
      </c>
      <c r="L157">
        <f t="shared" si="16"/>
        <v>-2.2012439411956585E-2</v>
      </c>
      <c r="M157">
        <f t="shared" si="17"/>
        <v>2.3244376036102268E-2</v>
      </c>
    </row>
    <row r="158" spans="1:13" x14ac:dyDescent="0.2">
      <c r="A158" s="6">
        <v>45761</v>
      </c>
      <c r="B158" s="7">
        <v>110.91</v>
      </c>
      <c r="C158" s="7">
        <v>155.97999999999999</v>
      </c>
      <c r="D158" s="7">
        <v>520.77</v>
      </c>
      <c r="E158" s="7">
        <v>184.87</v>
      </c>
      <c r="F158" s="7">
        <v>93.52</v>
      </c>
      <c r="G158" s="7">
        <v>339.72</v>
      </c>
      <c r="H158">
        <f t="shared" si="12"/>
        <v>1.9855602191176983E-3</v>
      </c>
      <c r="I158">
        <f t="shared" si="13"/>
        <v>1.9224515168629809E-2</v>
      </c>
      <c r="J158">
        <f t="shared" si="14"/>
        <v>3.7525432632732045E-2</v>
      </c>
      <c r="K158">
        <f t="shared" si="15"/>
        <v>1.4987064897772875E-2</v>
      </c>
      <c r="L158">
        <f t="shared" si="16"/>
        <v>2.9956657252171798E-2</v>
      </c>
      <c r="M158">
        <f t="shared" si="17"/>
        <v>-2.5860754874910758E-2</v>
      </c>
    </row>
    <row r="159" spans="1:13" x14ac:dyDescent="0.2">
      <c r="A159" s="6">
        <v>45758</v>
      </c>
      <c r="B159" s="7">
        <v>107.55</v>
      </c>
      <c r="C159" s="7">
        <v>158.74</v>
      </c>
      <c r="D159" s="7">
        <v>530.71</v>
      </c>
      <c r="E159" s="7">
        <v>181.22</v>
      </c>
      <c r="F159" s="7">
        <v>94.28</v>
      </c>
      <c r="G159" s="7">
        <v>347.69</v>
      </c>
      <c r="H159">
        <f t="shared" si="12"/>
        <v>-3.0763205902911171E-2</v>
      </c>
      <c r="I159">
        <f t="shared" si="13"/>
        <v>1.7539849760377636E-2</v>
      </c>
      <c r="J159">
        <f t="shared" si="14"/>
        <v>1.8907247145251761E-2</v>
      </c>
      <c r="K159">
        <f t="shared" si="15"/>
        <v>-1.9941112570439595E-2</v>
      </c>
      <c r="L159">
        <f t="shared" si="16"/>
        <v>8.0937609041174322E-3</v>
      </c>
      <c r="M159">
        <f t="shared" si="17"/>
        <v>2.3189529262763905E-2</v>
      </c>
    </row>
    <row r="160" spans="1:13" x14ac:dyDescent="0.2">
      <c r="A160" s="6">
        <v>45757</v>
      </c>
      <c r="B160" s="7">
        <v>114.31</v>
      </c>
      <c r="C160" s="7">
        <v>156.81</v>
      </c>
      <c r="D160" s="7">
        <v>542.79</v>
      </c>
      <c r="E160" s="7">
        <v>191.1</v>
      </c>
      <c r="F160" s="7">
        <v>92.36</v>
      </c>
      <c r="G160" s="7">
        <v>350.72</v>
      </c>
      <c r="H160">
        <f t="shared" si="12"/>
        <v>6.0958200323948122E-2</v>
      </c>
      <c r="I160">
        <f t="shared" si="13"/>
        <v>-1.2232762269789312E-2</v>
      </c>
      <c r="J160">
        <f t="shared" si="14"/>
        <v>2.2506772105295579E-2</v>
      </c>
      <c r="K160">
        <f t="shared" si="15"/>
        <v>5.3085088452312724E-2</v>
      </c>
      <c r="L160">
        <f t="shared" si="16"/>
        <v>-2.0575093581635805E-2</v>
      </c>
      <c r="M160">
        <f t="shared" si="17"/>
        <v>8.6769061450236579E-3</v>
      </c>
    </row>
    <row r="161" spans="1:13" x14ac:dyDescent="0.2">
      <c r="A161" s="6">
        <v>45756</v>
      </c>
      <c r="B161" s="7">
        <v>96.28</v>
      </c>
      <c r="C161" s="7">
        <v>152.5</v>
      </c>
      <c r="D161" s="7">
        <v>545.5</v>
      </c>
      <c r="E161" s="7">
        <v>170.66</v>
      </c>
      <c r="F161" s="7">
        <v>90.18</v>
      </c>
      <c r="G161" s="7">
        <v>347.44</v>
      </c>
      <c r="H161">
        <f t="shared" si="12"/>
        <v>-0.17165344312281586</v>
      </c>
      <c r="I161">
        <f t="shared" si="13"/>
        <v>-2.7870285345473898E-2</v>
      </c>
      <c r="J161">
        <f t="shared" si="14"/>
        <v>4.9803004740108731E-3</v>
      </c>
      <c r="K161">
        <f t="shared" si="15"/>
        <v>-0.11312357813778853</v>
      </c>
      <c r="L161">
        <f t="shared" si="16"/>
        <v>-2.3886311493356422E-2</v>
      </c>
      <c r="M161">
        <f t="shared" si="17"/>
        <v>-9.396196093029727E-3</v>
      </c>
    </row>
    <row r="162" spans="1:13" x14ac:dyDescent="0.2">
      <c r="A162" s="6">
        <v>45755</v>
      </c>
      <c r="B162" s="7">
        <v>97.62</v>
      </c>
      <c r="C162" s="7">
        <v>158.38</v>
      </c>
      <c r="D162" s="7">
        <v>584.91999999999996</v>
      </c>
      <c r="E162" s="7">
        <v>175.26</v>
      </c>
      <c r="F162" s="7">
        <v>89.18</v>
      </c>
      <c r="G162" s="7">
        <v>347.21</v>
      </c>
      <c r="H162">
        <f t="shared" si="12"/>
        <v>1.3821777544130279E-2</v>
      </c>
      <c r="I162">
        <f t="shared" si="13"/>
        <v>3.7832612734800063E-2</v>
      </c>
      <c r="J162">
        <f t="shared" si="14"/>
        <v>6.97722804705527E-2</v>
      </c>
      <c r="K162">
        <f t="shared" si="15"/>
        <v>2.659731251926585E-2</v>
      </c>
      <c r="L162">
        <f t="shared" si="16"/>
        <v>-1.1150873793607564E-2</v>
      </c>
      <c r="M162">
        <f t="shared" si="17"/>
        <v>-6.6220401181851698E-4</v>
      </c>
    </row>
    <row r="163" spans="1:13" x14ac:dyDescent="0.2">
      <c r="A163" s="6">
        <v>45754</v>
      </c>
      <c r="B163" s="7">
        <v>94.29</v>
      </c>
      <c r="C163" s="7">
        <v>144.4</v>
      </c>
      <c r="D163" s="7">
        <v>509.71</v>
      </c>
      <c r="E163" s="7">
        <v>171</v>
      </c>
      <c r="F163" s="7">
        <v>81.400000000000006</v>
      </c>
      <c r="G163" s="7">
        <v>348.95</v>
      </c>
      <c r="H163">
        <f t="shared" si="12"/>
        <v>-3.4707250981415541E-2</v>
      </c>
      <c r="I163">
        <f t="shared" si="13"/>
        <v>-9.2409982323540446E-2</v>
      </c>
      <c r="J163">
        <f t="shared" si="14"/>
        <v>-0.13763314920618849</v>
      </c>
      <c r="K163">
        <f t="shared" si="15"/>
        <v>-2.4607029125044678E-2</v>
      </c>
      <c r="L163">
        <f t="shared" si="16"/>
        <v>-9.1281526190836015E-2</v>
      </c>
      <c r="M163">
        <f t="shared" si="17"/>
        <v>4.9988612484127464E-3</v>
      </c>
    </row>
    <row r="164" spans="1:13" x14ac:dyDescent="0.2">
      <c r="A164" s="6">
        <v>45751</v>
      </c>
      <c r="B164" s="7">
        <v>101.78</v>
      </c>
      <c r="C164" s="7">
        <v>146.44</v>
      </c>
      <c r="D164" s="7">
        <v>515.51</v>
      </c>
      <c r="E164" s="7">
        <v>178.41</v>
      </c>
      <c r="F164" s="7">
        <v>83.43</v>
      </c>
      <c r="G164" s="7">
        <v>329.16</v>
      </c>
      <c r="H164">
        <f t="shared" si="12"/>
        <v>7.643848168310069E-2</v>
      </c>
      <c r="I164">
        <f t="shared" si="13"/>
        <v>1.4028561793309621E-2</v>
      </c>
      <c r="J164">
        <f t="shared" si="14"/>
        <v>1.1314765373468757E-2</v>
      </c>
      <c r="K164">
        <f t="shared" si="15"/>
        <v>4.2420715883952055E-2</v>
      </c>
      <c r="L164">
        <f t="shared" si="16"/>
        <v>2.4632683905488492E-2</v>
      </c>
      <c r="M164">
        <f t="shared" si="17"/>
        <v>-5.8384690725648371E-2</v>
      </c>
    </row>
    <row r="165" spans="1:13" x14ac:dyDescent="0.2">
      <c r="A165" s="6">
        <v>45750</v>
      </c>
      <c r="B165" s="7">
        <v>110.4</v>
      </c>
      <c r="C165" s="7">
        <v>145.29</v>
      </c>
      <c r="D165" s="7">
        <v>504</v>
      </c>
      <c r="E165" s="7">
        <v>196.01</v>
      </c>
      <c r="F165" s="7">
        <v>82.8</v>
      </c>
      <c r="G165" s="7">
        <v>335.32</v>
      </c>
      <c r="H165">
        <f t="shared" si="12"/>
        <v>8.1296512682308433E-2</v>
      </c>
      <c r="I165">
        <f t="shared" si="13"/>
        <v>-7.884043168788088E-3</v>
      </c>
      <c r="J165">
        <f t="shared" si="14"/>
        <v>-2.2580433839589763E-2</v>
      </c>
      <c r="K165">
        <f t="shared" si="15"/>
        <v>9.4081405950571712E-2</v>
      </c>
      <c r="L165">
        <f t="shared" si="16"/>
        <v>-7.5798955227693301E-3</v>
      </c>
      <c r="M165">
        <f t="shared" si="17"/>
        <v>1.8541345032144316E-2</v>
      </c>
    </row>
    <row r="166" spans="1:13" x14ac:dyDescent="0.2">
      <c r="A166" s="6">
        <v>45749</v>
      </c>
      <c r="B166" s="7">
        <v>110.13</v>
      </c>
      <c r="C166" s="7">
        <v>150.4</v>
      </c>
      <c r="D166" s="7">
        <v>530.85</v>
      </c>
      <c r="E166" s="7">
        <v>192.17</v>
      </c>
      <c r="F166" s="7">
        <v>86.85</v>
      </c>
      <c r="G166" s="7">
        <v>347.48</v>
      </c>
      <c r="H166">
        <f t="shared" si="12"/>
        <v>-2.4486476661424029E-3</v>
      </c>
      <c r="I166">
        <f t="shared" si="13"/>
        <v>3.4566666432492024E-2</v>
      </c>
      <c r="J166">
        <f t="shared" si="14"/>
        <v>5.1903227388213596E-2</v>
      </c>
      <c r="K166">
        <f t="shared" si="15"/>
        <v>-1.9785281392848009E-2</v>
      </c>
      <c r="L166">
        <f t="shared" si="16"/>
        <v>4.7754431295899825E-2</v>
      </c>
      <c r="M166">
        <f t="shared" si="17"/>
        <v>3.5621809622063273E-2</v>
      </c>
    </row>
    <row r="167" spans="1:13" x14ac:dyDescent="0.2">
      <c r="A167" s="6">
        <v>45748</v>
      </c>
      <c r="B167" s="7">
        <v>108.36</v>
      </c>
      <c r="C167" s="7">
        <v>156.71</v>
      </c>
      <c r="D167" s="7">
        <v>583.09</v>
      </c>
      <c r="E167" s="7">
        <v>190.26</v>
      </c>
      <c r="F167" s="7">
        <v>89.33</v>
      </c>
      <c r="G167" s="7">
        <v>349.46</v>
      </c>
      <c r="H167">
        <f t="shared" si="12"/>
        <v>-1.6202468959958267E-2</v>
      </c>
      <c r="I167">
        <f t="shared" si="13"/>
        <v>4.1098552019385309E-2</v>
      </c>
      <c r="J167">
        <f t="shared" si="14"/>
        <v>9.3862052904440441E-2</v>
      </c>
      <c r="K167">
        <f t="shared" si="15"/>
        <v>-9.9888391660248026E-3</v>
      </c>
      <c r="L167">
        <f t="shared" si="16"/>
        <v>2.8154885026633766E-2</v>
      </c>
      <c r="M167">
        <f t="shared" si="17"/>
        <v>5.6819965191724385E-3</v>
      </c>
    </row>
    <row r="168" spans="1:13" x14ac:dyDescent="0.2">
      <c r="A168" s="6">
        <v>45747</v>
      </c>
      <c r="B168" s="7">
        <v>109.65</v>
      </c>
      <c r="C168" s="7">
        <v>156.74</v>
      </c>
      <c r="D168" s="7">
        <v>585.15</v>
      </c>
      <c r="E168" s="7">
        <v>192.72</v>
      </c>
      <c r="F168" s="7">
        <v>88.41</v>
      </c>
      <c r="G168" s="7">
        <v>364.16</v>
      </c>
      <c r="H168">
        <f t="shared" si="12"/>
        <v>1.1834457647002798E-2</v>
      </c>
      <c r="I168">
        <f t="shared" si="13"/>
        <v>1.9141808959392533E-4</v>
      </c>
      <c r="J168">
        <f t="shared" si="14"/>
        <v>3.5266762567525162E-3</v>
      </c>
      <c r="K168">
        <f t="shared" si="15"/>
        <v>1.2846800528304969E-2</v>
      </c>
      <c r="L168">
        <f t="shared" si="16"/>
        <v>-1.0352292296034633E-2</v>
      </c>
      <c r="M168">
        <f t="shared" si="17"/>
        <v>4.120422558701918E-2</v>
      </c>
    </row>
    <row r="169" spans="1:13" x14ac:dyDescent="0.2">
      <c r="A169" s="6">
        <v>45744</v>
      </c>
      <c r="B169" s="7">
        <v>111.41</v>
      </c>
      <c r="C169" s="7">
        <v>154.32</v>
      </c>
      <c r="D169" s="7">
        <v>575.53</v>
      </c>
      <c r="E169" s="7">
        <v>201.36</v>
      </c>
      <c r="F169" s="7">
        <v>87.37</v>
      </c>
      <c r="G169" s="7">
        <v>358.89</v>
      </c>
      <c r="H169">
        <f t="shared" si="12"/>
        <v>1.5923615207327955E-2</v>
      </c>
      <c r="I169">
        <f t="shared" si="13"/>
        <v>-1.556001302724502E-2</v>
      </c>
      <c r="J169">
        <f t="shared" si="14"/>
        <v>-1.6576869233645181E-2</v>
      </c>
      <c r="K169">
        <f t="shared" si="15"/>
        <v>4.3855992520444677E-2</v>
      </c>
      <c r="L169">
        <f t="shared" si="16"/>
        <v>-1.1833111107709736E-2</v>
      </c>
      <c r="M169">
        <f t="shared" si="17"/>
        <v>-1.4577396646989023E-2</v>
      </c>
    </row>
    <row r="170" spans="1:13" x14ac:dyDescent="0.2">
      <c r="A170" s="6">
        <v>45743</v>
      </c>
      <c r="B170" s="7">
        <v>113.74</v>
      </c>
      <c r="C170" s="7">
        <v>154.01</v>
      </c>
      <c r="D170" s="7">
        <v>575.91</v>
      </c>
      <c r="E170" s="7">
        <v>201.13</v>
      </c>
      <c r="F170" s="7">
        <v>84.75</v>
      </c>
      <c r="G170" s="7">
        <v>359.84</v>
      </c>
      <c r="H170">
        <f t="shared" si="12"/>
        <v>2.0698051807428435E-2</v>
      </c>
      <c r="I170">
        <f t="shared" si="13"/>
        <v>-2.0108332270995094E-3</v>
      </c>
      <c r="J170">
        <f t="shared" si="14"/>
        <v>6.600431004581608E-4</v>
      </c>
      <c r="K170">
        <f t="shared" si="15"/>
        <v>-1.1428856619308989E-3</v>
      </c>
      <c r="L170">
        <f t="shared" si="16"/>
        <v>-3.044622804944367E-2</v>
      </c>
      <c r="M170">
        <f t="shared" si="17"/>
        <v>2.6435533600830704E-3</v>
      </c>
    </row>
    <row r="171" spans="1:13" x14ac:dyDescent="0.2">
      <c r="A171" s="6">
        <v>45742</v>
      </c>
      <c r="B171" s="7">
        <v>120.67</v>
      </c>
      <c r="C171" s="7">
        <v>161.9</v>
      </c>
      <c r="D171" s="7">
        <v>601.71</v>
      </c>
      <c r="E171" s="7">
        <v>205.71</v>
      </c>
      <c r="F171" s="7">
        <v>85.22</v>
      </c>
      <c r="G171" s="7">
        <v>351.66</v>
      </c>
      <c r="H171">
        <f t="shared" si="12"/>
        <v>5.9144405206855884E-2</v>
      </c>
      <c r="I171">
        <f t="shared" si="13"/>
        <v>4.9961325313215427E-2</v>
      </c>
      <c r="J171">
        <f t="shared" si="14"/>
        <v>4.3824203178476961E-2</v>
      </c>
      <c r="K171">
        <f t="shared" si="15"/>
        <v>2.2515944799253288E-2</v>
      </c>
      <c r="L171">
        <f t="shared" si="16"/>
        <v>5.5304018112062479E-3</v>
      </c>
      <c r="M171">
        <f t="shared" si="17"/>
        <v>-2.2994688494612562E-2</v>
      </c>
    </row>
    <row r="172" spans="1:13" x14ac:dyDescent="0.2">
      <c r="A172" s="6">
        <v>45741</v>
      </c>
      <c r="B172" s="7">
        <v>121.39</v>
      </c>
      <c r="C172" s="7">
        <v>164.71</v>
      </c>
      <c r="D172" s="7">
        <v>610.1</v>
      </c>
      <c r="E172" s="7">
        <v>203.26</v>
      </c>
      <c r="F172" s="7">
        <v>84.81</v>
      </c>
      <c r="G172" s="7">
        <v>356.15</v>
      </c>
      <c r="H172">
        <f t="shared" si="12"/>
        <v>5.948955824202861E-3</v>
      </c>
      <c r="I172">
        <f t="shared" si="13"/>
        <v>1.7207491110995086E-2</v>
      </c>
      <c r="J172">
        <f t="shared" si="14"/>
        <v>1.38472764917415E-2</v>
      </c>
      <c r="K172">
        <f t="shared" si="15"/>
        <v>-1.1981462254762508E-2</v>
      </c>
      <c r="L172">
        <f t="shared" si="16"/>
        <v>-4.8226876981573132E-3</v>
      </c>
      <c r="M172">
        <f t="shared" si="17"/>
        <v>1.2687190707969725E-2</v>
      </c>
    </row>
    <row r="173" spans="1:13" x14ac:dyDescent="0.2">
      <c r="A173" s="6">
        <v>45740</v>
      </c>
      <c r="B173" s="7">
        <v>117.68</v>
      </c>
      <c r="C173" s="7">
        <v>170.2</v>
      </c>
      <c r="D173" s="7">
        <v>625.41</v>
      </c>
      <c r="E173" s="7">
        <v>196.21</v>
      </c>
      <c r="F173" s="7">
        <v>84.36</v>
      </c>
      <c r="G173" s="7">
        <v>355.56</v>
      </c>
      <c r="H173">
        <f t="shared" si="12"/>
        <v>-3.1039426616530124E-2</v>
      </c>
      <c r="I173">
        <f t="shared" si="13"/>
        <v>3.2787864344689291E-2</v>
      </c>
      <c r="J173">
        <f t="shared" si="14"/>
        <v>2.4784556504648517E-2</v>
      </c>
      <c r="K173">
        <f t="shared" si="15"/>
        <v>-3.5300433477610089E-2</v>
      </c>
      <c r="L173">
        <f t="shared" si="16"/>
        <v>-5.3201047630348202E-3</v>
      </c>
      <c r="M173">
        <f t="shared" si="17"/>
        <v>-1.6579790508885394E-3</v>
      </c>
    </row>
    <row r="174" spans="1:13" x14ac:dyDescent="0.2">
      <c r="A174" s="6">
        <v>45737</v>
      </c>
      <c r="B174" s="7">
        <v>118.51</v>
      </c>
      <c r="C174" s="7">
        <v>167.33</v>
      </c>
      <c r="D174" s="7">
        <v>617.96</v>
      </c>
      <c r="E174" s="7">
        <v>194.95</v>
      </c>
      <c r="F174" s="7">
        <v>87.08</v>
      </c>
      <c r="G174" s="7">
        <v>354.44</v>
      </c>
      <c r="H174">
        <f t="shared" si="12"/>
        <v>7.0282689071752506E-3</v>
      </c>
      <c r="I174">
        <f t="shared" si="13"/>
        <v>-1.7006305632791454E-2</v>
      </c>
      <c r="J174">
        <f t="shared" si="14"/>
        <v>-1.1983704218606289E-2</v>
      </c>
      <c r="K174">
        <f t="shared" si="15"/>
        <v>-6.4423988034039373E-3</v>
      </c>
      <c r="L174">
        <f t="shared" si="16"/>
        <v>3.1733880755772832E-2</v>
      </c>
      <c r="M174">
        <f t="shared" si="17"/>
        <v>-3.1549321943725654E-3</v>
      </c>
    </row>
    <row r="175" spans="1:13" x14ac:dyDescent="0.2">
      <c r="A175" s="6">
        <v>45735</v>
      </c>
      <c r="B175" s="7">
        <v>115.41</v>
      </c>
      <c r="C175" s="7">
        <v>162.46</v>
      </c>
      <c r="D175" s="7">
        <v>585.15</v>
      </c>
      <c r="E175" s="7">
        <v>192.82</v>
      </c>
      <c r="F175" s="7">
        <v>85.57</v>
      </c>
      <c r="G175" s="7">
        <v>344.78</v>
      </c>
      <c r="H175">
        <f t="shared" si="12"/>
        <v>-2.6506339768043834E-2</v>
      </c>
      <c r="I175">
        <f t="shared" si="13"/>
        <v>-2.9536092883674456E-2</v>
      </c>
      <c r="J175">
        <f t="shared" si="14"/>
        <v>-5.4555505823073877E-2</v>
      </c>
      <c r="K175">
        <f t="shared" si="15"/>
        <v>-1.0986004192371994E-2</v>
      </c>
      <c r="L175">
        <f t="shared" si="16"/>
        <v>-1.7492481936383281E-2</v>
      </c>
      <c r="M175">
        <f t="shared" si="17"/>
        <v>-2.7632546712269123E-2</v>
      </c>
    </row>
    <row r="176" spans="1:13" x14ac:dyDescent="0.2">
      <c r="A176" s="6">
        <v>45734</v>
      </c>
      <c r="B176" s="7">
        <v>119.51</v>
      </c>
      <c r="C176" s="7">
        <v>163.55000000000001</v>
      </c>
      <c r="D176" s="7">
        <v>583.22</v>
      </c>
      <c r="E176" s="7">
        <v>195.74</v>
      </c>
      <c r="F176" s="7">
        <v>85.17</v>
      </c>
      <c r="G176" s="7">
        <v>349.07</v>
      </c>
      <c r="H176">
        <f t="shared" si="12"/>
        <v>3.4909044446476238E-2</v>
      </c>
      <c r="I176">
        <f t="shared" si="13"/>
        <v>6.6869363615851196E-3</v>
      </c>
      <c r="J176">
        <f t="shared" si="14"/>
        <v>-3.3037509615251423E-3</v>
      </c>
      <c r="K176">
        <f t="shared" si="15"/>
        <v>1.5030136761439217E-2</v>
      </c>
      <c r="L176">
        <f t="shared" si="16"/>
        <v>-4.6854952769738306E-3</v>
      </c>
      <c r="M176">
        <f t="shared" si="17"/>
        <v>1.2365942689409165E-2</v>
      </c>
    </row>
    <row r="177" spans="1:13" x14ac:dyDescent="0.2">
      <c r="A177" s="6">
        <v>45733</v>
      </c>
      <c r="B177" s="7">
        <v>121.65</v>
      </c>
      <c r="C177" s="7">
        <v>160.33000000000001</v>
      </c>
      <c r="D177" s="7">
        <v>581.52</v>
      </c>
      <c r="E177" s="7">
        <v>197.95</v>
      </c>
      <c r="F177" s="7">
        <v>85.69</v>
      </c>
      <c r="G177" s="7">
        <v>347.01</v>
      </c>
      <c r="H177">
        <f t="shared" si="12"/>
        <v>1.7748019350742005E-2</v>
      </c>
      <c r="I177">
        <f t="shared" si="13"/>
        <v>-1.988456278364694E-2</v>
      </c>
      <c r="J177">
        <f t="shared" si="14"/>
        <v>-2.9191084828700973E-3</v>
      </c>
      <c r="K177">
        <f t="shared" si="15"/>
        <v>1.1227225554466041E-2</v>
      </c>
      <c r="L177">
        <f t="shared" si="16"/>
        <v>6.0868735280378431E-3</v>
      </c>
      <c r="M177">
        <f t="shared" si="17"/>
        <v>-5.9188771808217477E-3</v>
      </c>
    </row>
    <row r="178" spans="1:13" x14ac:dyDescent="0.2">
      <c r="A178" s="6">
        <v>45730</v>
      </c>
      <c r="B178" s="7">
        <v>115.56</v>
      </c>
      <c r="C178" s="7">
        <v>163.94</v>
      </c>
      <c r="D178" s="7">
        <v>604.03</v>
      </c>
      <c r="E178" s="7">
        <v>193.89</v>
      </c>
      <c r="F178" s="7">
        <v>84.95</v>
      </c>
      <c r="G178" s="7">
        <v>343.23</v>
      </c>
      <c r="H178">
        <f t="shared" si="12"/>
        <v>-5.1358193631497184E-2</v>
      </c>
      <c r="I178">
        <f t="shared" si="13"/>
        <v>2.2266316024138613E-2</v>
      </c>
      <c r="J178">
        <f t="shared" si="14"/>
        <v>3.7978500399149379E-2</v>
      </c>
      <c r="K178">
        <f t="shared" si="15"/>
        <v>-2.072348560922584E-2</v>
      </c>
      <c r="L178">
        <f t="shared" si="16"/>
        <v>-8.6732845630863326E-3</v>
      </c>
      <c r="M178">
        <f t="shared" si="17"/>
        <v>-1.0952821594457526E-2</v>
      </c>
    </row>
    <row r="179" spans="1:13" x14ac:dyDescent="0.2">
      <c r="A179" s="6">
        <v>45728</v>
      </c>
      <c r="B179" s="7">
        <v>108.73</v>
      </c>
      <c r="C179" s="7">
        <v>162.41999999999999</v>
      </c>
      <c r="D179" s="7">
        <v>606.72</v>
      </c>
      <c r="E179" s="7">
        <v>196.59</v>
      </c>
      <c r="F179" s="7">
        <v>84.71</v>
      </c>
      <c r="G179" s="7">
        <v>344.94</v>
      </c>
      <c r="H179">
        <f t="shared" si="12"/>
        <v>-6.0922130588376332E-2</v>
      </c>
      <c r="I179">
        <f t="shared" si="13"/>
        <v>-9.3149343706198182E-3</v>
      </c>
      <c r="J179">
        <f t="shared" si="14"/>
        <v>4.443534051072927E-3</v>
      </c>
      <c r="K179">
        <f t="shared" si="15"/>
        <v>1.3829353776601586E-2</v>
      </c>
      <c r="L179">
        <f t="shared" si="16"/>
        <v>-2.8291896744815541E-3</v>
      </c>
      <c r="M179">
        <f t="shared" si="17"/>
        <v>4.9697124822923192E-3</v>
      </c>
    </row>
    <row r="180" spans="1:13" x14ac:dyDescent="0.2">
      <c r="A180" s="6">
        <v>45726</v>
      </c>
      <c r="B180" s="7">
        <v>112.66</v>
      </c>
      <c r="C180" s="7">
        <v>163.69999999999999</v>
      </c>
      <c r="D180" s="7">
        <v>618.12</v>
      </c>
      <c r="E180" s="7">
        <v>199.25</v>
      </c>
      <c r="F180" s="7">
        <v>84.56</v>
      </c>
      <c r="G180" s="7">
        <v>340.95</v>
      </c>
      <c r="H180">
        <f t="shared" si="12"/>
        <v>3.5506688456909817E-2</v>
      </c>
      <c r="I180">
        <f t="shared" si="13"/>
        <v>7.849911522824304E-3</v>
      </c>
      <c r="J180">
        <f t="shared" si="14"/>
        <v>1.8615213738891887E-2</v>
      </c>
      <c r="K180">
        <f t="shared" si="15"/>
        <v>1.3439975950809134E-2</v>
      </c>
      <c r="L180">
        <f t="shared" si="16"/>
        <v>-1.7723168814772674E-3</v>
      </c>
      <c r="M180">
        <f t="shared" si="17"/>
        <v>-1.1634649896592667E-2</v>
      </c>
    </row>
    <row r="181" spans="1:13" x14ac:dyDescent="0.2">
      <c r="A181" s="6">
        <v>45722</v>
      </c>
      <c r="B181" s="7">
        <v>117.27</v>
      </c>
      <c r="C181" s="7">
        <v>165.52</v>
      </c>
      <c r="D181" s="7">
        <v>596.6</v>
      </c>
      <c r="E181" s="7">
        <v>208.36</v>
      </c>
      <c r="F181" s="7">
        <v>87.16</v>
      </c>
      <c r="G181" s="7">
        <v>359.2</v>
      </c>
      <c r="H181">
        <f t="shared" si="12"/>
        <v>4.0104535006405227E-2</v>
      </c>
      <c r="I181">
        <f t="shared" si="13"/>
        <v>1.1056549060198439E-2</v>
      </c>
      <c r="J181">
        <f t="shared" si="14"/>
        <v>-3.5435741284845973E-2</v>
      </c>
      <c r="K181">
        <f t="shared" si="15"/>
        <v>4.4707035206666454E-2</v>
      </c>
      <c r="L181">
        <f t="shared" si="16"/>
        <v>3.0284168514436945E-2</v>
      </c>
      <c r="M181">
        <f t="shared" si="17"/>
        <v>5.2143497461382707E-2</v>
      </c>
    </row>
    <row r="182" spans="1:13" x14ac:dyDescent="0.2">
      <c r="A182" s="6">
        <v>45721</v>
      </c>
      <c r="B182" s="7">
        <v>115.96</v>
      </c>
      <c r="C182" s="7">
        <v>173.3</v>
      </c>
      <c r="D182" s="7">
        <v>624.20000000000005</v>
      </c>
      <c r="E182" s="7">
        <v>203.8</v>
      </c>
      <c r="F182" s="7">
        <v>91.04</v>
      </c>
      <c r="G182" s="7">
        <v>365.54</v>
      </c>
      <c r="H182">
        <f t="shared" si="12"/>
        <v>-1.1233664419518357E-2</v>
      </c>
      <c r="I182">
        <f t="shared" si="13"/>
        <v>4.5932163284272839E-2</v>
      </c>
      <c r="J182">
        <f t="shared" si="14"/>
        <v>4.5223957756030858E-2</v>
      </c>
      <c r="K182">
        <f t="shared" si="15"/>
        <v>-2.2128232088366322E-2</v>
      </c>
      <c r="L182">
        <f t="shared" si="16"/>
        <v>4.355346030160176E-2</v>
      </c>
      <c r="M182">
        <f t="shared" si="17"/>
        <v>1.7496375898251641E-2</v>
      </c>
    </row>
    <row r="183" spans="1:13" x14ac:dyDescent="0.2">
      <c r="A183" s="6">
        <v>45720</v>
      </c>
      <c r="B183" s="7">
        <v>114.03</v>
      </c>
      <c r="C183" s="7">
        <v>171.79</v>
      </c>
      <c r="D183" s="7">
        <v>626.47</v>
      </c>
      <c r="E183" s="7">
        <v>205.02</v>
      </c>
      <c r="F183" s="7">
        <v>93.93</v>
      </c>
      <c r="G183" s="7">
        <v>367.63</v>
      </c>
      <c r="H183">
        <f t="shared" si="12"/>
        <v>-1.6783732384187629E-2</v>
      </c>
      <c r="I183">
        <f t="shared" si="13"/>
        <v>-8.7513960832063028E-3</v>
      </c>
      <c r="J183">
        <f t="shared" si="14"/>
        <v>3.6300582770989833E-3</v>
      </c>
      <c r="K183">
        <f t="shared" si="15"/>
        <v>5.9684145666309748E-3</v>
      </c>
      <c r="L183">
        <f t="shared" si="16"/>
        <v>3.1250853628403283E-2</v>
      </c>
      <c r="M183">
        <f t="shared" si="17"/>
        <v>5.7012852714215531E-3</v>
      </c>
    </row>
    <row r="184" spans="1:13" x14ac:dyDescent="0.2">
      <c r="A184" s="6">
        <v>45719</v>
      </c>
      <c r="B184" s="7">
        <v>124.89</v>
      </c>
      <c r="C184" s="7">
        <v>172.46</v>
      </c>
      <c r="D184" s="7">
        <v>654.94000000000005</v>
      </c>
      <c r="E184" s="7">
        <v>212.28</v>
      </c>
      <c r="F184" s="7">
        <v>95.26</v>
      </c>
      <c r="G184" s="7">
        <v>372.44</v>
      </c>
      <c r="H184">
        <f t="shared" si="12"/>
        <v>9.0971778205726592E-2</v>
      </c>
      <c r="I184">
        <f t="shared" si="13"/>
        <v>3.8925248858243688E-3</v>
      </c>
      <c r="J184">
        <f t="shared" si="14"/>
        <v>4.4442740272222857E-2</v>
      </c>
      <c r="K184">
        <f t="shared" si="15"/>
        <v>3.4798622604438667E-2</v>
      </c>
      <c r="L184">
        <f t="shared" si="16"/>
        <v>1.4060171366290231E-2</v>
      </c>
      <c r="M184">
        <f t="shared" si="17"/>
        <v>1.2998953422611306E-2</v>
      </c>
    </row>
    <row r="185" spans="1:13" x14ac:dyDescent="0.2">
      <c r="A185" s="6">
        <v>45716</v>
      </c>
      <c r="B185" s="7">
        <v>120.12</v>
      </c>
      <c r="C185" s="7">
        <v>170.36</v>
      </c>
      <c r="D185" s="7">
        <v>638.51</v>
      </c>
      <c r="E185" s="7">
        <v>208.74</v>
      </c>
      <c r="F185" s="7">
        <v>94.26</v>
      </c>
      <c r="G185" s="7">
        <v>376.95</v>
      </c>
      <c r="H185">
        <f t="shared" si="12"/>
        <v>-3.8942106759864224E-2</v>
      </c>
      <c r="I185">
        <f t="shared" si="13"/>
        <v>-1.225148046916557E-2</v>
      </c>
      <c r="J185">
        <f t="shared" si="14"/>
        <v>-2.5406291328924187E-2</v>
      </c>
      <c r="K185">
        <f t="shared" si="15"/>
        <v>-1.6816699567788501E-2</v>
      </c>
      <c r="L185">
        <f t="shared" si="16"/>
        <v>-1.0553073877129587E-2</v>
      </c>
      <c r="M185">
        <f t="shared" si="17"/>
        <v>1.2036601637381834E-2</v>
      </c>
    </row>
    <row r="186" spans="1:13" x14ac:dyDescent="0.2">
      <c r="A186" s="6">
        <v>45715</v>
      </c>
      <c r="B186" s="7">
        <v>131.24</v>
      </c>
      <c r="C186" s="7">
        <v>166.47</v>
      </c>
      <c r="D186" s="7">
        <v>653.52</v>
      </c>
      <c r="E186" s="7">
        <v>214.35</v>
      </c>
      <c r="F186" s="7">
        <v>96.86</v>
      </c>
      <c r="G186" s="7">
        <v>372.4</v>
      </c>
      <c r="H186">
        <f t="shared" si="12"/>
        <v>8.8536464977771331E-2</v>
      </c>
      <c r="I186">
        <f t="shared" si="13"/>
        <v>-2.3098732049093285E-2</v>
      </c>
      <c r="J186">
        <f t="shared" si="14"/>
        <v>2.323579997653694E-2</v>
      </c>
      <c r="K186">
        <f t="shared" si="15"/>
        <v>2.6520734652080449E-2</v>
      </c>
      <c r="L186">
        <f t="shared" si="16"/>
        <v>2.7209715479498128E-2</v>
      </c>
      <c r="M186">
        <f t="shared" si="17"/>
        <v>-1.2144007254798949E-2</v>
      </c>
    </row>
    <row r="187" spans="1:13" x14ac:dyDescent="0.2">
      <c r="A187" s="6">
        <v>45714</v>
      </c>
      <c r="B187" s="7">
        <v>126.6</v>
      </c>
      <c r="C187" s="7">
        <v>169.73</v>
      </c>
      <c r="D187" s="7">
        <v>666.64</v>
      </c>
      <c r="E187" s="7">
        <v>212.8</v>
      </c>
      <c r="F187" s="7">
        <v>97.87</v>
      </c>
      <c r="G187" s="7">
        <v>380.21</v>
      </c>
      <c r="H187">
        <f t="shared" si="12"/>
        <v>-3.5995198382825187E-2</v>
      </c>
      <c r="I187">
        <f t="shared" si="13"/>
        <v>1.9393826167520504E-2</v>
      </c>
      <c r="J187">
        <f t="shared" si="14"/>
        <v>1.9877033040337475E-2</v>
      </c>
      <c r="K187">
        <f t="shared" si="15"/>
        <v>-7.2574355764967267E-3</v>
      </c>
      <c r="L187">
        <f t="shared" si="16"/>
        <v>1.037343046264518E-2</v>
      </c>
      <c r="M187">
        <f t="shared" si="17"/>
        <v>2.0755186251870717E-2</v>
      </c>
    </row>
    <row r="188" spans="1:13" x14ac:dyDescent="0.2">
      <c r="A188" s="6">
        <v>45713</v>
      </c>
      <c r="B188" s="7">
        <v>130.24</v>
      </c>
      <c r="C188" s="7">
        <v>167.95</v>
      </c>
      <c r="D188" s="7">
        <v>656.71</v>
      </c>
      <c r="E188" s="7">
        <v>212.71</v>
      </c>
      <c r="F188" s="7">
        <v>96.07</v>
      </c>
      <c r="G188" s="7">
        <v>386.95</v>
      </c>
      <c r="H188">
        <f t="shared" si="12"/>
        <v>2.8346392544154393E-2</v>
      </c>
      <c r="I188">
        <f t="shared" si="13"/>
        <v>-1.054262311513823E-2</v>
      </c>
      <c r="J188">
        <f t="shared" si="14"/>
        <v>-1.5007649339545294E-2</v>
      </c>
      <c r="K188">
        <f t="shared" si="15"/>
        <v>-4.230217919302443E-4</v>
      </c>
      <c r="L188">
        <f t="shared" si="16"/>
        <v>-1.8562975016081076E-2</v>
      </c>
      <c r="M188">
        <f t="shared" si="17"/>
        <v>1.7571754061685475E-2</v>
      </c>
    </row>
    <row r="189" spans="1:13" x14ac:dyDescent="0.2">
      <c r="A189" s="6">
        <v>45712</v>
      </c>
      <c r="B189" s="7">
        <v>134.38999999999999</v>
      </c>
      <c r="C189" s="7">
        <v>172.17</v>
      </c>
      <c r="D189" s="7">
        <v>672.13</v>
      </c>
      <c r="E189" s="7">
        <v>216.58</v>
      </c>
      <c r="F189" s="7">
        <v>95.48</v>
      </c>
      <c r="G189" s="7">
        <v>380.78</v>
      </c>
      <c r="H189">
        <f t="shared" si="12"/>
        <v>3.1367118304742383E-2</v>
      </c>
      <c r="I189">
        <f t="shared" si="13"/>
        <v>2.4816044730079027E-2</v>
      </c>
      <c r="J189">
        <f t="shared" si="14"/>
        <v>2.3209253460196866E-2</v>
      </c>
      <c r="K189">
        <f t="shared" si="15"/>
        <v>1.80302585246742E-2</v>
      </c>
      <c r="L189">
        <f t="shared" si="16"/>
        <v>-6.1602909510176784E-3</v>
      </c>
      <c r="M189">
        <f t="shared" si="17"/>
        <v>-1.6073705186937789E-2</v>
      </c>
    </row>
    <row r="190" spans="1:13" x14ac:dyDescent="0.2">
      <c r="A190" s="6">
        <v>45709</v>
      </c>
      <c r="B190" s="7">
        <v>140.07</v>
      </c>
      <c r="C190" s="7">
        <v>174.85</v>
      </c>
      <c r="D190" s="7">
        <v>655.97</v>
      </c>
      <c r="E190" s="7">
        <v>222.88</v>
      </c>
      <c r="F190" s="7">
        <v>96.96</v>
      </c>
      <c r="G190" s="7">
        <v>380.98</v>
      </c>
      <c r="H190">
        <f t="shared" si="12"/>
        <v>4.1396277091982604E-2</v>
      </c>
      <c r="I190">
        <f t="shared" si="13"/>
        <v>1.544610272100397E-2</v>
      </c>
      <c r="J190">
        <f t="shared" si="14"/>
        <v>-2.4336718003557353E-2</v>
      </c>
      <c r="K190">
        <f t="shared" si="15"/>
        <v>2.8673515831262101E-2</v>
      </c>
      <c r="L190">
        <f t="shared" si="16"/>
        <v>1.5381720850374899E-2</v>
      </c>
      <c r="M190">
        <f t="shared" si="17"/>
        <v>5.25099781021629E-4</v>
      </c>
    </row>
    <row r="191" spans="1:13" x14ac:dyDescent="0.2">
      <c r="A191" s="6">
        <v>45708</v>
      </c>
      <c r="B191" s="7">
        <v>139.19</v>
      </c>
      <c r="C191" s="7">
        <v>178.67</v>
      </c>
      <c r="D191" s="7">
        <v>666.57</v>
      </c>
      <c r="E191" s="7">
        <v>226.63</v>
      </c>
      <c r="F191" s="7">
        <v>92.97</v>
      </c>
      <c r="G191" s="7">
        <v>383.72</v>
      </c>
      <c r="H191">
        <f t="shared" si="12"/>
        <v>-6.3023914116461383E-3</v>
      </c>
      <c r="I191">
        <f t="shared" si="13"/>
        <v>2.1612065435691028E-2</v>
      </c>
      <c r="J191">
        <f t="shared" si="14"/>
        <v>1.6030104169410919E-2</v>
      </c>
      <c r="K191">
        <f t="shared" si="15"/>
        <v>1.6685221679343571E-2</v>
      </c>
      <c r="L191">
        <f t="shared" si="16"/>
        <v>-4.2021661853237656E-2</v>
      </c>
      <c r="M191">
        <f t="shared" si="17"/>
        <v>7.1662396391948407E-3</v>
      </c>
    </row>
    <row r="192" spans="1:13" x14ac:dyDescent="0.2">
      <c r="A192" s="6">
        <v>45707</v>
      </c>
      <c r="B192" s="7">
        <v>139.36000000000001</v>
      </c>
      <c r="C192" s="7">
        <v>179.08</v>
      </c>
      <c r="D192" s="7">
        <v>681.96</v>
      </c>
      <c r="E192" s="7">
        <v>226.65</v>
      </c>
      <c r="F192" s="7">
        <v>94.07</v>
      </c>
      <c r="G192" s="7">
        <v>373.12</v>
      </c>
      <c r="H192">
        <f t="shared" si="12"/>
        <v>1.2206068648836156E-3</v>
      </c>
      <c r="I192">
        <f t="shared" si="13"/>
        <v>2.2921044276890522E-3</v>
      </c>
      <c r="J192">
        <f t="shared" si="14"/>
        <v>2.2825844736574025E-2</v>
      </c>
      <c r="K192">
        <f t="shared" si="15"/>
        <v>8.8245676019168697E-5</v>
      </c>
      <c r="L192">
        <f t="shared" si="16"/>
        <v>1.1762325516093375E-2</v>
      </c>
      <c r="M192">
        <f t="shared" si="17"/>
        <v>-2.8013036227674006E-2</v>
      </c>
    </row>
    <row r="193" spans="1:13" x14ac:dyDescent="0.2">
      <c r="A193" s="6">
        <v>45706</v>
      </c>
      <c r="B193" s="7">
        <v>138.81</v>
      </c>
      <c r="C193" s="7">
        <v>183.96</v>
      </c>
      <c r="D193" s="7">
        <v>693.22</v>
      </c>
      <c r="E193" s="7">
        <v>228.68</v>
      </c>
      <c r="F193" s="7">
        <v>96.48</v>
      </c>
      <c r="G193" s="7">
        <v>375.93</v>
      </c>
      <c r="H193">
        <f t="shared" si="12"/>
        <v>-3.9544215171747783E-3</v>
      </c>
      <c r="I193">
        <f t="shared" si="13"/>
        <v>2.6885709298958279E-2</v>
      </c>
      <c r="J193">
        <f t="shared" si="14"/>
        <v>1.6376404030468718E-2</v>
      </c>
      <c r="K193">
        <f t="shared" si="15"/>
        <v>8.9166690089122532E-3</v>
      </c>
      <c r="L193">
        <f t="shared" si="16"/>
        <v>2.5296546995015417E-2</v>
      </c>
      <c r="M193">
        <f t="shared" si="17"/>
        <v>7.5028721232303884E-3</v>
      </c>
    </row>
    <row r="194" spans="1:13" x14ac:dyDescent="0.2">
      <c r="A194" s="6">
        <v>45702</v>
      </c>
      <c r="B194" s="7">
        <v>135.25</v>
      </c>
      <c r="C194" s="7">
        <v>184.67</v>
      </c>
      <c r="D194" s="7">
        <v>702.13</v>
      </c>
      <c r="E194" s="7">
        <v>230.37</v>
      </c>
      <c r="F194" s="7">
        <v>103.22</v>
      </c>
      <c r="G194" s="7">
        <v>385.04</v>
      </c>
      <c r="H194">
        <f t="shared" si="12"/>
        <v>-2.5981173860426993E-2</v>
      </c>
      <c r="I194">
        <f t="shared" si="13"/>
        <v>3.852105786058024E-3</v>
      </c>
      <c r="J194">
        <f t="shared" si="14"/>
        <v>1.2771162938837295E-2</v>
      </c>
      <c r="K194">
        <f t="shared" si="15"/>
        <v>7.3630656147914315E-3</v>
      </c>
      <c r="L194">
        <f t="shared" si="16"/>
        <v>6.7526899741705629E-2</v>
      </c>
      <c r="M194">
        <f t="shared" si="17"/>
        <v>2.3944269149550709E-2</v>
      </c>
    </row>
    <row r="195" spans="1:13" x14ac:dyDescent="0.2">
      <c r="A195" s="6">
        <v>45701</v>
      </c>
      <c r="B195" s="7">
        <v>131.1</v>
      </c>
      <c r="C195" s="7">
        <v>183.17</v>
      </c>
      <c r="D195" s="7">
        <v>714.7</v>
      </c>
      <c r="E195" s="7">
        <v>228.93</v>
      </c>
      <c r="F195" s="7">
        <v>103.01</v>
      </c>
      <c r="G195" s="7">
        <v>385.81</v>
      </c>
      <c r="H195">
        <f t="shared" si="12"/>
        <v>-3.1164526956936733E-2</v>
      </c>
      <c r="I195">
        <f t="shared" si="13"/>
        <v>-8.1557650856557175E-3</v>
      </c>
      <c r="J195">
        <f t="shared" si="14"/>
        <v>1.7744302159596811E-2</v>
      </c>
      <c r="K195">
        <f t="shared" si="15"/>
        <v>-6.2704320409103474E-3</v>
      </c>
      <c r="L195">
        <f t="shared" si="16"/>
        <v>-2.0365618249789906E-3</v>
      </c>
      <c r="M195">
        <f t="shared" si="17"/>
        <v>1.9977953067420043E-3</v>
      </c>
    </row>
    <row r="196" spans="1:13" x14ac:dyDescent="0.2">
      <c r="A196" s="6">
        <v>45700</v>
      </c>
      <c r="B196" s="7">
        <v>132.76</v>
      </c>
      <c r="C196" s="7">
        <v>184.63</v>
      </c>
      <c r="D196" s="7">
        <v>734.95</v>
      </c>
      <c r="E196" s="7">
        <v>232.76</v>
      </c>
      <c r="F196" s="7">
        <v>103.26</v>
      </c>
      <c r="G196" s="7">
        <v>393.5</v>
      </c>
      <c r="H196">
        <f t="shared" ref="H196:H259" si="18">LN(B196/B195)</f>
        <v>1.2582596082119686E-2</v>
      </c>
      <c r="I196">
        <f t="shared" ref="I196:I259" si="19">LN(C196/C195)</f>
        <v>7.939139035526302E-3</v>
      </c>
      <c r="J196">
        <f t="shared" ref="J196:J259" si="20">LN(D196/D195)</f>
        <v>2.7939595462063437E-2</v>
      </c>
      <c r="K196">
        <f t="shared" ref="K196:K259" si="21">LN(E196/E195)</f>
        <v>1.6591599818817571E-2</v>
      </c>
      <c r="L196">
        <f t="shared" ref="L196:L259" si="22">LN(F196/F195)</f>
        <v>2.4240085559010223E-3</v>
      </c>
      <c r="M196">
        <f t="shared" ref="M196:M259" si="23">LN(G196/G195)</f>
        <v>1.9736047555861835E-2</v>
      </c>
    </row>
    <row r="197" spans="1:13" x14ac:dyDescent="0.2">
      <c r="A197" s="6">
        <v>45699</v>
      </c>
      <c r="B197" s="7">
        <v>133.53</v>
      </c>
      <c r="C197" s="7">
        <v>185.54</v>
      </c>
      <c r="D197" s="7">
        <v>726.86</v>
      </c>
      <c r="E197" s="7">
        <v>233.14</v>
      </c>
      <c r="F197" s="7">
        <v>104.27</v>
      </c>
      <c r="G197" s="7">
        <v>399.54</v>
      </c>
      <c r="H197">
        <f t="shared" si="18"/>
        <v>5.7831848440988579E-3</v>
      </c>
      <c r="I197">
        <f t="shared" si="19"/>
        <v>4.9166698174736862E-3</v>
      </c>
      <c r="J197">
        <f t="shared" si="20"/>
        <v>-1.1068582913467549E-2</v>
      </c>
      <c r="K197">
        <f t="shared" si="21"/>
        <v>1.6312517032170128E-3</v>
      </c>
      <c r="L197">
        <f t="shared" si="22"/>
        <v>9.7336093499986835E-3</v>
      </c>
      <c r="M197">
        <f t="shared" si="23"/>
        <v>1.5232817493128166E-2</v>
      </c>
    </row>
    <row r="198" spans="1:13" x14ac:dyDescent="0.2">
      <c r="A198" s="6">
        <v>45698</v>
      </c>
      <c r="B198" s="7">
        <v>129.80000000000001</v>
      </c>
      <c r="C198" s="7">
        <v>183.01</v>
      </c>
      <c r="D198" s="7">
        <v>723.69</v>
      </c>
      <c r="E198" s="7">
        <v>229.15</v>
      </c>
      <c r="F198" s="7">
        <v>102.84</v>
      </c>
      <c r="G198" s="7">
        <v>402.4</v>
      </c>
      <c r="H198">
        <f t="shared" si="18"/>
        <v>-2.8331367425882999E-2</v>
      </c>
      <c r="I198">
        <f t="shared" si="19"/>
        <v>-1.3729696067934569E-2</v>
      </c>
      <c r="J198">
        <f t="shared" si="20"/>
        <v>-4.3707628782521223E-3</v>
      </c>
      <c r="K198">
        <f t="shared" si="21"/>
        <v>-1.7262320536553199E-2</v>
      </c>
      <c r="L198">
        <f t="shared" si="22"/>
        <v>-1.380930640381295E-2</v>
      </c>
      <c r="M198">
        <f t="shared" si="23"/>
        <v>7.1327334349432512E-3</v>
      </c>
    </row>
    <row r="199" spans="1:13" x14ac:dyDescent="0.2">
      <c r="A199" s="6">
        <v>45695</v>
      </c>
      <c r="B199" s="7">
        <v>128.63999999999999</v>
      </c>
      <c r="C199" s="7">
        <v>184.72</v>
      </c>
      <c r="D199" s="7">
        <v>718.12</v>
      </c>
      <c r="E199" s="7">
        <v>238.83</v>
      </c>
      <c r="F199" s="7">
        <v>101.71</v>
      </c>
      <c r="G199" s="7">
        <v>397.24</v>
      </c>
      <c r="H199">
        <f t="shared" si="18"/>
        <v>-8.9769988393336147E-3</v>
      </c>
      <c r="I199">
        <f t="shared" si="19"/>
        <v>9.3003688890489853E-3</v>
      </c>
      <c r="J199">
        <f t="shared" si="20"/>
        <v>-7.7264378936490307E-3</v>
      </c>
      <c r="K199">
        <f t="shared" si="21"/>
        <v>4.1375190813463393E-2</v>
      </c>
      <c r="L199">
        <f t="shared" si="22"/>
        <v>-1.1048755760183989E-2</v>
      </c>
      <c r="M199">
        <f t="shared" si="23"/>
        <v>-1.290598675037158E-2</v>
      </c>
    </row>
    <row r="200" spans="1:13" x14ac:dyDescent="0.2">
      <c r="A200" s="6">
        <v>45694</v>
      </c>
      <c r="B200" s="7">
        <v>124.8</v>
      </c>
      <c r="C200" s="7">
        <v>185.86</v>
      </c>
      <c r="D200" s="7">
        <v>715.73</v>
      </c>
      <c r="E200" s="7">
        <v>236.17</v>
      </c>
      <c r="F200" s="7">
        <v>102.15</v>
      </c>
      <c r="G200" s="7">
        <v>406.23</v>
      </c>
      <c r="H200">
        <f t="shared" si="18"/>
        <v>-3.0305349495328808E-2</v>
      </c>
      <c r="I200">
        <f t="shared" si="19"/>
        <v>6.1525370829533851E-3</v>
      </c>
      <c r="J200">
        <f t="shared" si="20"/>
        <v>-3.3336851322378863E-3</v>
      </c>
      <c r="K200">
        <f t="shared" si="21"/>
        <v>-1.1200117079536432E-2</v>
      </c>
      <c r="L200">
        <f t="shared" si="22"/>
        <v>4.316694626126296E-3</v>
      </c>
      <c r="M200">
        <f t="shared" si="23"/>
        <v>2.2378869627684619E-2</v>
      </c>
    </row>
    <row r="201" spans="1:13" x14ac:dyDescent="0.2">
      <c r="A201" s="6">
        <v>45693</v>
      </c>
      <c r="B201" s="7">
        <v>118.62</v>
      </c>
      <c r="C201" s="7">
        <v>184.74</v>
      </c>
      <c r="D201" s="7">
        <v>712.85</v>
      </c>
      <c r="E201" s="7">
        <v>242.06</v>
      </c>
      <c r="F201" s="7">
        <v>100.4</v>
      </c>
      <c r="G201" s="7">
        <v>403.92</v>
      </c>
      <c r="H201">
        <f t="shared" si="18"/>
        <v>-5.0787349524746679E-2</v>
      </c>
      <c r="I201">
        <f t="shared" si="19"/>
        <v>-6.0442709647292436E-3</v>
      </c>
      <c r="J201">
        <f t="shared" si="20"/>
        <v>-4.0319812704201841E-3</v>
      </c>
      <c r="K201">
        <f t="shared" si="21"/>
        <v>2.4633744621397582E-2</v>
      </c>
      <c r="L201">
        <f t="shared" si="22"/>
        <v>-1.7280114006002229E-2</v>
      </c>
      <c r="M201">
        <f t="shared" si="23"/>
        <v>-5.7026631121821682E-3</v>
      </c>
    </row>
    <row r="202" spans="1:13" x14ac:dyDescent="0.2">
      <c r="A202" s="6">
        <v>45692</v>
      </c>
      <c r="B202" s="7">
        <v>116.63</v>
      </c>
      <c r="C202" s="7">
        <v>190.98</v>
      </c>
      <c r="D202" s="7">
        <v>710.33</v>
      </c>
      <c r="E202" s="7">
        <v>237.42</v>
      </c>
      <c r="F202" s="7">
        <v>102.08</v>
      </c>
      <c r="G202" s="7">
        <v>397.46</v>
      </c>
      <c r="H202">
        <f t="shared" si="18"/>
        <v>-1.6918575707622119E-2</v>
      </c>
      <c r="I202">
        <f t="shared" si="19"/>
        <v>3.321927935759228E-2</v>
      </c>
      <c r="J202">
        <f t="shared" si="20"/>
        <v>-3.5413688130397744E-3</v>
      </c>
      <c r="K202">
        <f t="shared" si="21"/>
        <v>-1.9354904685069833E-2</v>
      </c>
      <c r="L202">
        <f t="shared" si="22"/>
        <v>1.6594612338850828E-2</v>
      </c>
      <c r="M202">
        <f t="shared" si="23"/>
        <v>-1.6122538450521948E-2</v>
      </c>
    </row>
    <row r="203" spans="1:13" x14ac:dyDescent="0.2">
      <c r="A203" s="6">
        <v>45691</v>
      </c>
      <c r="B203" s="7">
        <v>120.04</v>
      </c>
      <c r="C203" s="7">
        <v>190.71</v>
      </c>
      <c r="D203" s="7">
        <v>703.23</v>
      </c>
      <c r="E203" s="7">
        <v>237.68</v>
      </c>
      <c r="F203" s="7">
        <v>101.7</v>
      </c>
      <c r="G203" s="7">
        <v>404.09</v>
      </c>
      <c r="H203">
        <f t="shared" si="18"/>
        <v>2.8818489869208028E-2</v>
      </c>
      <c r="I203">
        <f t="shared" si="19"/>
        <v>-1.4147609056292673E-3</v>
      </c>
      <c r="J203">
        <f t="shared" si="20"/>
        <v>-1.0045643209924224E-2</v>
      </c>
      <c r="K203">
        <f t="shared" si="21"/>
        <v>1.0945065289642757E-3</v>
      </c>
      <c r="L203">
        <f t="shared" si="22"/>
        <v>-3.7295165419654816E-3</v>
      </c>
      <c r="M203">
        <f t="shared" si="23"/>
        <v>1.6543325328180213E-2</v>
      </c>
    </row>
    <row r="204" spans="1:13" x14ac:dyDescent="0.2">
      <c r="A204" s="6">
        <v>45688</v>
      </c>
      <c r="B204" s="7">
        <v>124.62</v>
      </c>
      <c r="C204" s="7">
        <v>205.71</v>
      </c>
      <c r="D204" s="7">
        <v>702.55</v>
      </c>
      <c r="E204" s="7">
        <v>234.64</v>
      </c>
      <c r="F204" s="7">
        <v>100.02</v>
      </c>
      <c r="G204" s="7">
        <v>403.75</v>
      </c>
      <c r="H204">
        <f t="shared" si="18"/>
        <v>3.7444086543909585E-2</v>
      </c>
      <c r="I204">
        <f t="shared" si="19"/>
        <v>7.5713460347955619E-2</v>
      </c>
      <c r="J204">
        <f t="shared" si="20"/>
        <v>-9.6743452465684106E-4</v>
      </c>
      <c r="K204">
        <f t="shared" si="21"/>
        <v>-1.2872806485156662E-2</v>
      </c>
      <c r="L204">
        <f t="shared" si="22"/>
        <v>-1.665713706375669E-2</v>
      </c>
      <c r="M204">
        <f t="shared" si="23"/>
        <v>-8.4175089145230916E-4</v>
      </c>
    </row>
    <row r="205" spans="1:13" x14ac:dyDescent="0.2">
      <c r="A205" s="6">
        <v>45687</v>
      </c>
      <c r="B205" s="7">
        <v>123.67</v>
      </c>
      <c r="C205" s="7">
        <v>200.58</v>
      </c>
      <c r="D205" s="7">
        <v>695.83</v>
      </c>
      <c r="E205" s="7">
        <v>237.07</v>
      </c>
      <c r="F205" s="7">
        <v>98.8</v>
      </c>
      <c r="G205" s="7">
        <v>401.48</v>
      </c>
      <c r="H205">
        <f t="shared" si="18"/>
        <v>-7.6523793621102489E-3</v>
      </c>
      <c r="I205">
        <f t="shared" si="19"/>
        <v>-2.5254240304320479E-2</v>
      </c>
      <c r="J205">
        <f t="shared" si="20"/>
        <v>-9.6111954260840564E-3</v>
      </c>
      <c r="K205">
        <f t="shared" si="21"/>
        <v>1.0303031505945394E-2</v>
      </c>
      <c r="L205">
        <f t="shared" si="22"/>
        <v>-1.2272561236935521E-2</v>
      </c>
      <c r="M205">
        <f t="shared" si="23"/>
        <v>-5.638155591266689E-3</v>
      </c>
    </row>
    <row r="206" spans="1:13" x14ac:dyDescent="0.2">
      <c r="A206" s="6">
        <v>45686</v>
      </c>
      <c r="B206" s="7">
        <v>128.94999999999999</v>
      </c>
      <c r="C206" s="7">
        <v>203.36</v>
      </c>
      <c r="D206" s="7">
        <v>687.57</v>
      </c>
      <c r="E206" s="7">
        <v>238.15</v>
      </c>
      <c r="F206" s="7">
        <v>97.43</v>
      </c>
      <c r="G206" s="7">
        <v>398.82</v>
      </c>
      <c r="H206">
        <f t="shared" si="18"/>
        <v>4.1808004573388034E-2</v>
      </c>
      <c r="I206">
        <f t="shared" si="19"/>
        <v>1.3764637781081685E-2</v>
      </c>
      <c r="J206">
        <f t="shared" si="20"/>
        <v>-1.1941735086839805E-2</v>
      </c>
      <c r="K206">
        <f t="shared" si="21"/>
        <v>4.5452710717283473E-3</v>
      </c>
      <c r="L206">
        <f t="shared" si="22"/>
        <v>-1.3963433316572205E-2</v>
      </c>
      <c r="M206">
        <f t="shared" si="23"/>
        <v>-6.6475316640541371E-3</v>
      </c>
    </row>
    <row r="207" spans="1:13" x14ac:dyDescent="0.2">
      <c r="A207" s="6">
        <v>45685</v>
      </c>
      <c r="B207" s="7">
        <v>118.39</v>
      </c>
      <c r="C207" s="7">
        <v>200.22</v>
      </c>
      <c r="D207" s="7">
        <v>685.4</v>
      </c>
      <c r="E207" s="7">
        <v>235.42</v>
      </c>
      <c r="F207" s="7">
        <v>97.91</v>
      </c>
      <c r="G207" s="7">
        <v>401.96</v>
      </c>
      <c r="H207">
        <f t="shared" si="18"/>
        <v>-8.5440472903808851E-2</v>
      </c>
      <c r="I207">
        <f t="shared" si="19"/>
        <v>-1.5561045449806335E-2</v>
      </c>
      <c r="J207">
        <f t="shared" si="20"/>
        <v>-3.161033098916969E-3</v>
      </c>
      <c r="K207">
        <f t="shared" si="21"/>
        <v>-1.1529574262534861E-2</v>
      </c>
      <c r="L207">
        <f t="shared" si="22"/>
        <v>4.9145179287299152E-3</v>
      </c>
      <c r="M207">
        <f t="shared" si="23"/>
        <v>7.8423938992123899E-3</v>
      </c>
    </row>
    <row r="208" spans="1:13" x14ac:dyDescent="0.2">
      <c r="A208" s="6">
        <v>45684</v>
      </c>
      <c r="B208" s="7">
        <v>142.58000000000001</v>
      </c>
      <c r="C208" s="7">
        <v>194.77</v>
      </c>
      <c r="D208" s="7">
        <v>674.91</v>
      </c>
      <c r="E208" s="7">
        <v>234.85</v>
      </c>
      <c r="F208" s="7">
        <v>96.77</v>
      </c>
      <c r="G208" s="7">
        <v>404.42</v>
      </c>
      <c r="H208">
        <f t="shared" si="18"/>
        <v>0.18591898626593756</v>
      </c>
      <c r="I208">
        <f t="shared" si="19"/>
        <v>-2.7597386749529128E-2</v>
      </c>
      <c r="J208">
        <f t="shared" si="20"/>
        <v>-1.5423260790991095E-2</v>
      </c>
      <c r="K208">
        <f t="shared" si="21"/>
        <v>-2.4241405113304931E-3</v>
      </c>
      <c r="L208">
        <f t="shared" si="22"/>
        <v>-1.1711660473128832E-2</v>
      </c>
      <c r="M208">
        <f t="shared" si="23"/>
        <v>6.1013607268257195E-3</v>
      </c>
    </row>
    <row r="209" spans="1:13" x14ac:dyDescent="0.2">
      <c r="A209" s="6">
        <v>45681</v>
      </c>
      <c r="B209" s="7">
        <v>147.18</v>
      </c>
      <c r="C209" s="7">
        <v>194.67</v>
      </c>
      <c r="D209" s="7">
        <v>672.76</v>
      </c>
      <c r="E209" s="7">
        <v>235.42</v>
      </c>
      <c r="F209" s="7">
        <v>96.56</v>
      </c>
      <c r="G209" s="7">
        <v>403.36</v>
      </c>
      <c r="H209">
        <f t="shared" si="18"/>
        <v>3.1753081808970567E-2</v>
      </c>
      <c r="I209">
        <f t="shared" si="19"/>
        <v>-5.1355794062172449E-4</v>
      </c>
      <c r="J209">
        <f t="shared" si="20"/>
        <v>-3.1906947902853194E-3</v>
      </c>
      <c r="K209">
        <f t="shared" si="21"/>
        <v>2.4241405113305109E-3</v>
      </c>
      <c r="L209">
        <f t="shared" si="22"/>
        <v>-2.1724521035750002E-3</v>
      </c>
      <c r="M209">
        <f t="shared" si="23"/>
        <v>-2.6244784679739118E-3</v>
      </c>
    </row>
    <row r="210" spans="1:13" x14ac:dyDescent="0.2">
      <c r="A210" s="6">
        <v>45680</v>
      </c>
      <c r="B210" s="7">
        <v>147.03</v>
      </c>
      <c r="C210" s="7">
        <v>191.19</v>
      </c>
      <c r="D210" s="7">
        <v>658.34</v>
      </c>
      <c r="E210" s="7">
        <v>235.01</v>
      </c>
      <c r="F210" s="7">
        <v>96.67</v>
      </c>
      <c r="G210" s="7">
        <v>408.64</v>
      </c>
      <c r="H210">
        <f t="shared" si="18"/>
        <v>-1.0196799088871258E-3</v>
      </c>
      <c r="I210">
        <f t="shared" si="19"/>
        <v>-1.8038119306874229E-2</v>
      </c>
      <c r="J210">
        <f t="shared" si="20"/>
        <v>-2.1667138661114443E-2</v>
      </c>
      <c r="K210">
        <f t="shared" si="21"/>
        <v>-1.743086554047622E-3</v>
      </c>
      <c r="L210">
        <f t="shared" si="22"/>
        <v>1.1385396872380801E-3</v>
      </c>
      <c r="M210">
        <f t="shared" si="23"/>
        <v>1.3005109404564653E-2</v>
      </c>
    </row>
    <row r="211" spans="1:13" x14ac:dyDescent="0.2">
      <c r="A211" s="6">
        <v>45679</v>
      </c>
      <c r="B211" s="7">
        <v>140.79</v>
      </c>
      <c r="C211" s="7">
        <v>199.56</v>
      </c>
      <c r="D211" s="7">
        <v>645.98</v>
      </c>
      <c r="E211" s="7">
        <v>230.71</v>
      </c>
      <c r="F211" s="7">
        <v>94.05</v>
      </c>
      <c r="G211" s="7">
        <v>414.54</v>
      </c>
      <c r="H211">
        <f t="shared" si="18"/>
        <v>-4.3367229115129947E-2</v>
      </c>
      <c r="I211">
        <f t="shared" si="19"/>
        <v>4.2847244998524221E-2</v>
      </c>
      <c r="J211">
        <f t="shared" si="20"/>
        <v>-1.8952971647100709E-2</v>
      </c>
      <c r="K211">
        <f t="shared" si="21"/>
        <v>-1.846655585276968E-2</v>
      </c>
      <c r="L211">
        <f t="shared" si="22"/>
        <v>-2.7476560729474658E-2</v>
      </c>
      <c r="M211">
        <f t="shared" si="23"/>
        <v>1.433489888458403E-2</v>
      </c>
    </row>
    <row r="212" spans="1:13" x14ac:dyDescent="0.2">
      <c r="A212" s="6">
        <v>45678</v>
      </c>
      <c r="B212" s="7">
        <v>137.66999999999999</v>
      </c>
      <c r="C212" s="7">
        <v>197.34</v>
      </c>
      <c r="D212" s="7">
        <v>634.97</v>
      </c>
      <c r="E212" s="7">
        <v>225.94</v>
      </c>
      <c r="F212" s="7">
        <v>93.11</v>
      </c>
      <c r="G212" s="7">
        <v>404.42</v>
      </c>
      <c r="H212">
        <f t="shared" si="18"/>
        <v>-2.2409901399584164E-2</v>
      </c>
      <c r="I212">
        <f t="shared" si="19"/>
        <v>-1.1186813563816025E-2</v>
      </c>
      <c r="J212">
        <f t="shared" si="20"/>
        <v>-1.7190789868850781E-2</v>
      </c>
      <c r="K212">
        <f t="shared" si="21"/>
        <v>-2.0892033278734498E-2</v>
      </c>
      <c r="L212">
        <f t="shared" si="22"/>
        <v>-1.0044965846600987E-2</v>
      </c>
      <c r="M212">
        <f t="shared" si="23"/>
        <v>-2.4715529821174916E-2</v>
      </c>
    </row>
    <row r="213" spans="1:13" x14ac:dyDescent="0.2">
      <c r="A213" s="6">
        <v>45674</v>
      </c>
      <c r="B213" s="7">
        <v>133.53</v>
      </c>
      <c r="C213" s="7">
        <v>197.73</v>
      </c>
      <c r="D213" s="7">
        <v>622.04999999999995</v>
      </c>
      <c r="E213" s="7">
        <v>220.66</v>
      </c>
      <c r="F213" s="7">
        <v>92.53</v>
      </c>
      <c r="G213" s="7">
        <v>404.31</v>
      </c>
      <c r="H213">
        <f t="shared" si="18"/>
        <v>-3.0533345378979067E-2</v>
      </c>
      <c r="I213">
        <f t="shared" si="19"/>
        <v>1.9743343037176078E-3</v>
      </c>
      <c r="J213">
        <f t="shared" si="20"/>
        <v>-2.055727832166623E-2</v>
      </c>
      <c r="K213">
        <f t="shared" si="21"/>
        <v>-2.3646421966622748E-2</v>
      </c>
      <c r="L213">
        <f t="shared" si="22"/>
        <v>-6.2486736394995728E-3</v>
      </c>
      <c r="M213">
        <f t="shared" si="23"/>
        <v>-2.7203145840604375E-4</v>
      </c>
    </row>
    <row r="214" spans="1:13" x14ac:dyDescent="0.2">
      <c r="A214" s="6">
        <v>45673</v>
      </c>
      <c r="B214" s="7">
        <v>136.19999999999999</v>
      </c>
      <c r="C214" s="7">
        <v>197.41</v>
      </c>
      <c r="D214" s="7">
        <v>615.02</v>
      </c>
      <c r="E214" s="7">
        <v>223.35</v>
      </c>
      <c r="F214" s="7">
        <v>92.39</v>
      </c>
      <c r="G214" s="7">
        <v>400.12</v>
      </c>
      <c r="H214">
        <f t="shared" si="18"/>
        <v>1.9798222019539222E-2</v>
      </c>
      <c r="I214">
        <f t="shared" si="19"/>
        <v>-1.6196794551617435E-3</v>
      </c>
      <c r="J214">
        <f t="shared" si="20"/>
        <v>-1.1365687757553127E-2</v>
      </c>
      <c r="K214">
        <f t="shared" si="21"/>
        <v>1.211699246596764E-2</v>
      </c>
      <c r="L214">
        <f t="shared" si="22"/>
        <v>-1.5141685782851444E-3</v>
      </c>
      <c r="M214">
        <f t="shared" si="23"/>
        <v>-1.0417408332197637E-2</v>
      </c>
    </row>
    <row r="215" spans="1:13" x14ac:dyDescent="0.2">
      <c r="A215" s="6">
        <v>45672</v>
      </c>
      <c r="B215" s="7">
        <v>131.72</v>
      </c>
      <c r="C215" s="7">
        <v>195.36</v>
      </c>
      <c r="D215" s="7">
        <v>611.34</v>
      </c>
      <c r="E215" s="7">
        <v>217.76</v>
      </c>
      <c r="F215" s="7">
        <v>91.25</v>
      </c>
      <c r="G215" s="7">
        <v>408.25</v>
      </c>
      <c r="H215">
        <f t="shared" si="18"/>
        <v>-3.3445936207248401E-2</v>
      </c>
      <c r="I215">
        <f t="shared" si="19"/>
        <v>-1.0438773915181838E-2</v>
      </c>
      <c r="J215">
        <f t="shared" si="20"/>
        <v>-6.0015183886977753E-3</v>
      </c>
      <c r="K215">
        <f t="shared" si="21"/>
        <v>-2.5346508894971784E-2</v>
      </c>
      <c r="L215">
        <f t="shared" si="22"/>
        <v>-1.2415755220052888E-2</v>
      </c>
      <c r="M215">
        <f t="shared" si="23"/>
        <v>2.0115229733594458E-2</v>
      </c>
    </row>
    <row r="216" spans="1:13" x14ac:dyDescent="0.2">
      <c r="A216" s="6">
        <v>45671</v>
      </c>
      <c r="B216" s="7">
        <v>133.19</v>
      </c>
      <c r="C216" s="7">
        <v>192.28</v>
      </c>
      <c r="D216" s="7">
        <v>609.88</v>
      </c>
      <c r="E216" s="7">
        <v>218.46</v>
      </c>
      <c r="F216" s="7">
        <v>90.62</v>
      </c>
      <c r="G216" s="7">
        <v>399.42</v>
      </c>
      <c r="H216">
        <f t="shared" si="18"/>
        <v>1.109822270477555E-2</v>
      </c>
      <c r="I216">
        <f t="shared" si="19"/>
        <v>-1.5891367336634665E-2</v>
      </c>
      <c r="J216">
        <f t="shared" si="20"/>
        <v>-2.3910527105427794E-3</v>
      </c>
      <c r="K216">
        <f t="shared" si="21"/>
        <v>3.2093925122411424E-3</v>
      </c>
      <c r="L216">
        <f t="shared" si="22"/>
        <v>-6.9280532236087348E-3</v>
      </c>
      <c r="M216">
        <f t="shared" si="23"/>
        <v>-2.1866237009907207E-2</v>
      </c>
    </row>
    <row r="217" spans="1:13" x14ac:dyDescent="0.2">
      <c r="A217" s="6">
        <v>45670</v>
      </c>
      <c r="B217" s="7">
        <v>135.87</v>
      </c>
      <c r="C217" s="7">
        <v>194.91</v>
      </c>
      <c r="D217" s="7">
        <v>615.67999999999995</v>
      </c>
      <c r="E217" s="7">
        <v>218.94</v>
      </c>
      <c r="F217" s="7">
        <v>90.66</v>
      </c>
      <c r="G217" s="7">
        <v>399.37</v>
      </c>
      <c r="H217">
        <f t="shared" si="18"/>
        <v>1.9921866023293086E-2</v>
      </c>
      <c r="I217">
        <f t="shared" si="19"/>
        <v>1.3585270534789319E-2</v>
      </c>
      <c r="J217">
        <f t="shared" si="20"/>
        <v>9.4651315335806813E-3</v>
      </c>
      <c r="K217">
        <f t="shared" si="21"/>
        <v>2.1947882610142597E-3</v>
      </c>
      <c r="L217">
        <f t="shared" si="22"/>
        <v>4.4130627371107402E-4</v>
      </c>
      <c r="M217">
        <f t="shared" si="23"/>
        <v>-1.2518934905374969E-4</v>
      </c>
    </row>
    <row r="218" spans="1:13" x14ac:dyDescent="0.2">
      <c r="A218" s="6">
        <v>45667</v>
      </c>
      <c r="B218" s="7">
        <v>140.07</v>
      </c>
      <c r="C218" s="7">
        <v>189.04</v>
      </c>
      <c r="D218" s="7">
        <v>592.87</v>
      </c>
      <c r="E218" s="7">
        <v>222.13</v>
      </c>
      <c r="F218" s="7">
        <v>90.11</v>
      </c>
      <c r="G218" s="7">
        <v>396.21</v>
      </c>
      <c r="H218">
        <f t="shared" si="18"/>
        <v>3.0443751414723164E-2</v>
      </c>
      <c r="I218">
        <f t="shared" si="19"/>
        <v>-3.0579280681896869E-2</v>
      </c>
      <c r="J218">
        <f t="shared" si="20"/>
        <v>-3.7752197356022331E-2</v>
      </c>
      <c r="K218">
        <f t="shared" si="21"/>
        <v>1.446507639311987E-2</v>
      </c>
      <c r="L218">
        <f t="shared" si="22"/>
        <v>-6.0850992657572106E-3</v>
      </c>
      <c r="M218">
        <f t="shared" si="23"/>
        <v>-7.9439317677909658E-3</v>
      </c>
    </row>
    <row r="219" spans="1:13" x14ac:dyDescent="0.2">
      <c r="A219" s="6">
        <v>45665</v>
      </c>
      <c r="B219" s="7">
        <v>140.1</v>
      </c>
      <c r="C219" s="7">
        <v>190.39</v>
      </c>
      <c r="D219" s="7">
        <v>606.91</v>
      </c>
      <c r="E219" s="7">
        <v>222.11</v>
      </c>
      <c r="F219" s="7">
        <v>90.85</v>
      </c>
      <c r="G219" s="7">
        <v>383.23</v>
      </c>
      <c r="H219">
        <f t="shared" si="18"/>
        <v>2.1415569200593842E-4</v>
      </c>
      <c r="I219">
        <f t="shared" si="19"/>
        <v>7.1159670909326737E-3</v>
      </c>
      <c r="J219">
        <f t="shared" si="20"/>
        <v>2.3405359203904626E-2</v>
      </c>
      <c r="K219">
        <f t="shared" si="21"/>
        <v>-9.0041419113525136E-5</v>
      </c>
      <c r="L219">
        <f t="shared" si="22"/>
        <v>8.1786485952342197E-3</v>
      </c>
      <c r="M219">
        <f t="shared" si="23"/>
        <v>-3.3309042591261745E-2</v>
      </c>
    </row>
    <row r="220" spans="1:13" x14ac:dyDescent="0.2">
      <c r="A220" s="6">
        <v>45664</v>
      </c>
      <c r="B220" s="7">
        <v>149.38999999999999</v>
      </c>
      <c r="C220" s="7">
        <v>191.42</v>
      </c>
      <c r="D220" s="7">
        <v>614.41999999999996</v>
      </c>
      <c r="E220" s="7">
        <v>227.61</v>
      </c>
      <c r="F220" s="7">
        <v>92.31</v>
      </c>
      <c r="G220" s="7">
        <v>379.71</v>
      </c>
      <c r="H220">
        <f t="shared" si="18"/>
        <v>6.4203882711264523E-2</v>
      </c>
      <c r="I220">
        <f t="shared" si="19"/>
        <v>5.3953667981752711E-3</v>
      </c>
      <c r="J220">
        <f t="shared" si="20"/>
        <v>1.2298223501818993E-2</v>
      </c>
      <c r="K220">
        <f t="shared" si="21"/>
        <v>2.446088336767575E-2</v>
      </c>
      <c r="L220">
        <f t="shared" si="22"/>
        <v>1.5942683159879966E-2</v>
      </c>
      <c r="M220">
        <f t="shared" si="23"/>
        <v>-9.2275276600942858E-3</v>
      </c>
    </row>
    <row r="221" spans="1:13" x14ac:dyDescent="0.2">
      <c r="A221" s="6">
        <v>45663</v>
      </c>
      <c r="B221" s="7">
        <v>144.43</v>
      </c>
      <c r="C221" s="7">
        <v>193.32</v>
      </c>
      <c r="D221" s="7">
        <v>609.29999999999995</v>
      </c>
      <c r="E221" s="7">
        <v>224.19</v>
      </c>
      <c r="F221" s="7">
        <v>91.11</v>
      </c>
      <c r="G221" s="7">
        <v>380.41</v>
      </c>
      <c r="H221">
        <f t="shared" si="18"/>
        <v>-3.3765374941150415E-2</v>
      </c>
      <c r="I221">
        <f t="shared" si="19"/>
        <v>9.8768802091228885E-3</v>
      </c>
      <c r="J221">
        <f t="shared" si="20"/>
        <v>-8.3679761325394543E-3</v>
      </c>
      <c r="K221">
        <f t="shared" si="21"/>
        <v>-1.5139731407784752E-2</v>
      </c>
      <c r="L221">
        <f t="shared" si="22"/>
        <v>-1.3084910276293086E-2</v>
      </c>
      <c r="M221">
        <f t="shared" si="23"/>
        <v>1.841814971012886E-3</v>
      </c>
    </row>
    <row r="222" spans="1:13" x14ac:dyDescent="0.2">
      <c r="A222" s="6">
        <v>45660</v>
      </c>
      <c r="B222" s="7">
        <v>138.27000000000001</v>
      </c>
      <c r="C222" s="7">
        <v>194.85</v>
      </c>
      <c r="D222" s="7">
        <v>616.45000000000005</v>
      </c>
      <c r="E222" s="7">
        <v>220.22</v>
      </c>
      <c r="F222" s="7">
        <v>90.13</v>
      </c>
      <c r="G222" s="7">
        <v>377.78</v>
      </c>
      <c r="H222">
        <f t="shared" si="18"/>
        <v>-4.3586665712548781E-2</v>
      </c>
      <c r="I222">
        <f t="shared" si="19"/>
        <v>7.8831848078348386E-3</v>
      </c>
      <c r="J222">
        <f t="shared" si="20"/>
        <v>1.1666459060113203E-2</v>
      </c>
      <c r="K222">
        <f t="shared" si="21"/>
        <v>-1.786685992486332E-2</v>
      </c>
      <c r="L222">
        <f t="shared" si="22"/>
        <v>-1.0814495157448693E-2</v>
      </c>
      <c r="M222">
        <f t="shared" si="23"/>
        <v>-6.9376028398060894E-3</v>
      </c>
    </row>
    <row r="223" spans="1:13" x14ac:dyDescent="0.2">
      <c r="A223" s="6">
        <v>45659</v>
      </c>
      <c r="B223" s="7">
        <v>134.25</v>
      </c>
      <c r="C223" s="7">
        <v>196.23</v>
      </c>
      <c r="D223" s="7">
        <v>628.73</v>
      </c>
      <c r="E223" s="7">
        <v>219.39</v>
      </c>
      <c r="F223" s="7">
        <v>90.75</v>
      </c>
      <c r="G223" s="7">
        <v>374.88</v>
      </c>
      <c r="H223">
        <f t="shared" si="18"/>
        <v>-2.9504562011552642E-2</v>
      </c>
      <c r="I223">
        <f t="shared" si="19"/>
        <v>7.0574088565128765E-3</v>
      </c>
      <c r="J223">
        <f t="shared" si="20"/>
        <v>1.9724695448336323E-2</v>
      </c>
      <c r="K223">
        <f t="shared" si="21"/>
        <v>-3.7760787344756248E-3</v>
      </c>
      <c r="L223">
        <f t="shared" si="22"/>
        <v>6.8554005766418092E-3</v>
      </c>
      <c r="M223">
        <f t="shared" si="23"/>
        <v>-7.7060408441880501E-3</v>
      </c>
    </row>
    <row r="224" spans="1:13" x14ac:dyDescent="0.2">
      <c r="A224" s="6">
        <v>45657</v>
      </c>
      <c r="B224" s="7">
        <v>137.44999999999999</v>
      </c>
      <c r="C224" s="7">
        <v>191.17</v>
      </c>
      <c r="D224" s="7">
        <v>603.22</v>
      </c>
      <c r="E224" s="7">
        <v>221.3</v>
      </c>
      <c r="F224" s="7">
        <v>90.1</v>
      </c>
      <c r="G224" s="7">
        <v>379.9</v>
      </c>
      <c r="H224">
        <f t="shared" si="18"/>
        <v>2.3556481222280625E-2</v>
      </c>
      <c r="I224">
        <f t="shared" si="19"/>
        <v>-2.6124356100304131E-2</v>
      </c>
      <c r="J224">
        <f t="shared" si="20"/>
        <v>-4.1419939120142621E-2</v>
      </c>
      <c r="K224">
        <f t="shared" si="21"/>
        <v>8.6682791060345137E-3</v>
      </c>
      <c r="L224">
        <f t="shared" si="22"/>
        <v>-7.1883085306680477E-3</v>
      </c>
      <c r="M224">
        <f t="shared" si="23"/>
        <v>1.3302085434094295E-2</v>
      </c>
    </row>
    <row r="225" spans="1:13" x14ac:dyDescent="0.2">
      <c r="A225" s="6">
        <v>45656</v>
      </c>
      <c r="B225" s="7">
        <v>136.97</v>
      </c>
      <c r="C225" s="7">
        <v>188.81</v>
      </c>
      <c r="D225" s="7">
        <v>597.84</v>
      </c>
      <c r="E225" s="7">
        <v>223.75</v>
      </c>
      <c r="F225" s="7">
        <v>89.33</v>
      </c>
      <c r="G225" s="7">
        <v>379.71</v>
      </c>
      <c r="H225">
        <f t="shared" si="18"/>
        <v>-3.4982908645247663E-3</v>
      </c>
      <c r="I225">
        <f t="shared" si="19"/>
        <v>-1.2421866130486101E-2</v>
      </c>
      <c r="J225">
        <f t="shared" si="20"/>
        <v>-8.9588130207207805E-3</v>
      </c>
      <c r="K225">
        <f t="shared" si="21"/>
        <v>1.1010110097960718E-2</v>
      </c>
      <c r="L225">
        <f t="shared" si="22"/>
        <v>-8.5827869005444812E-3</v>
      </c>
      <c r="M225">
        <f t="shared" si="23"/>
        <v>-5.0025672111321171E-4</v>
      </c>
    </row>
    <row r="226" spans="1:13" x14ac:dyDescent="0.2">
      <c r="A226" s="6">
        <v>45653</v>
      </c>
      <c r="B226" s="7">
        <v>139.88999999999999</v>
      </c>
      <c r="C226" s="7">
        <v>188.68</v>
      </c>
      <c r="D226" s="7">
        <v>584.15</v>
      </c>
      <c r="E226" s="7">
        <v>227.05</v>
      </c>
      <c r="F226" s="7">
        <v>89.68</v>
      </c>
      <c r="G226" s="7">
        <v>379.01</v>
      </c>
      <c r="H226">
        <f t="shared" si="18"/>
        <v>2.1094475741609241E-2</v>
      </c>
      <c r="I226">
        <f t="shared" si="19"/>
        <v>-6.8875999437984566E-4</v>
      </c>
      <c r="J226">
        <f t="shared" si="20"/>
        <v>-2.316536045887738E-2</v>
      </c>
      <c r="K226">
        <f t="shared" si="21"/>
        <v>1.4640900388995345E-2</v>
      </c>
      <c r="L226">
        <f t="shared" si="22"/>
        <v>3.9104010501568994E-3</v>
      </c>
      <c r="M226">
        <f t="shared" si="23"/>
        <v>-1.8452135138498063E-3</v>
      </c>
    </row>
    <row r="227" spans="1:13" x14ac:dyDescent="0.2">
      <c r="A227" s="6">
        <v>45652</v>
      </c>
      <c r="B227" s="7">
        <v>140.18</v>
      </c>
      <c r="C227" s="7">
        <v>190.62</v>
      </c>
      <c r="D227" s="7">
        <v>589.86</v>
      </c>
      <c r="E227" s="7">
        <v>229.05</v>
      </c>
      <c r="F227" s="7">
        <v>89.89</v>
      </c>
      <c r="G227" s="7">
        <v>379.53</v>
      </c>
      <c r="H227">
        <f t="shared" si="18"/>
        <v>2.070911583839622E-3</v>
      </c>
      <c r="I227">
        <f t="shared" si="19"/>
        <v>1.022945909341889E-2</v>
      </c>
      <c r="J227">
        <f t="shared" si="20"/>
        <v>9.7274214437306546E-3</v>
      </c>
      <c r="K227">
        <f t="shared" si="21"/>
        <v>8.7700627887910554E-3</v>
      </c>
      <c r="L227">
        <f t="shared" si="22"/>
        <v>2.3389218214034265E-3</v>
      </c>
      <c r="M227">
        <f t="shared" si="23"/>
        <v>1.3710551360710387E-3</v>
      </c>
    </row>
    <row r="228" spans="1:13" x14ac:dyDescent="0.2">
      <c r="A228" s="6">
        <v>45650</v>
      </c>
      <c r="B228" s="7">
        <v>139.63</v>
      </c>
      <c r="C228" s="7">
        <v>192.13</v>
      </c>
      <c r="D228" s="7">
        <v>598.41</v>
      </c>
      <c r="E228" s="7">
        <v>225.06</v>
      </c>
      <c r="F228" s="7">
        <v>90.98</v>
      </c>
      <c r="G228" s="7">
        <v>379.96</v>
      </c>
      <c r="H228">
        <f t="shared" si="18"/>
        <v>-3.9312441180754708E-3</v>
      </c>
      <c r="I228">
        <f t="shared" si="19"/>
        <v>7.8903087341302362E-3</v>
      </c>
      <c r="J228">
        <f t="shared" si="20"/>
        <v>1.439091714369501E-2</v>
      </c>
      <c r="K228">
        <f t="shared" si="21"/>
        <v>-1.7573287010900222E-2</v>
      </c>
      <c r="L228">
        <f t="shared" si="22"/>
        <v>1.2053001556550072E-2</v>
      </c>
      <c r="M228">
        <f t="shared" si="23"/>
        <v>1.1323389272939459E-3</v>
      </c>
    </row>
    <row r="229" spans="1:13" x14ac:dyDescent="0.2">
      <c r="A229" s="6">
        <v>45649</v>
      </c>
      <c r="B229" s="7">
        <v>134.66</v>
      </c>
      <c r="C229" s="7">
        <v>194.96</v>
      </c>
      <c r="D229" s="7">
        <v>601.94000000000005</v>
      </c>
      <c r="E229" s="7">
        <v>224.92</v>
      </c>
      <c r="F229" s="7">
        <v>92.1</v>
      </c>
      <c r="G229" s="7">
        <v>383.3</v>
      </c>
      <c r="H229">
        <f t="shared" si="18"/>
        <v>-3.6242983836968563E-2</v>
      </c>
      <c r="I229">
        <f t="shared" si="19"/>
        <v>1.4622183073340933E-2</v>
      </c>
      <c r="J229">
        <f t="shared" si="20"/>
        <v>5.8816348169891536E-3</v>
      </c>
      <c r="K229">
        <f t="shared" si="21"/>
        <v>-6.2224989785007213E-4</v>
      </c>
      <c r="L229">
        <f t="shared" si="22"/>
        <v>1.2235241119402999E-2</v>
      </c>
      <c r="M229">
        <f t="shared" si="23"/>
        <v>8.7519883645278025E-3</v>
      </c>
    </row>
    <row r="230" spans="1:13" x14ac:dyDescent="0.2">
      <c r="A230" s="6">
        <v>45646</v>
      </c>
      <c r="B230" s="7">
        <v>130.63999999999999</v>
      </c>
      <c r="C230" s="7">
        <v>195.47</v>
      </c>
      <c r="D230" s="7">
        <v>606.33000000000004</v>
      </c>
      <c r="E230" s="7">
        <v>223.29</v>
      </c>
      <c r="F230" s="7">
        <v>91.99</v>
      </c>
      <c r="G230" s="7">
        <v>385.53</v>
      </c>
      <c r="H230">
        <f t="shared" si="18"/>
        <v>-3.0307634454925212E-2</v>
      </c>
      <c r="I230">
        <f t="shared" si="19"/>
        <v>2.6125056479797846E-3</v>
      </c>
      <c r="J230">
        <f t="shared" si="20"/>
        <v>7.266619741215858E-3</v>
      </c>
      <c r="K230">
        <f t="shared" si="21"/>
        <v>-7.2734083840719083E-3</v>
      </c>
      <c r="L230">
        <f t="shared" si="22"/>
        <v>-1.1950677721953155E-3</v>
      </c>
      <c r="M230">
        <f t="shared" si="23"/>
        <v>5.8010386006500051E-3</v>
      </c>
    </row>
    <row r="231" spans="1:13" x14ac:dyDescent="0.2">
      <c r="A231" s="6">
        <v>45645</v>
      </c>
      <c r="B231" s="7">
        <v>128.87</v>
      </c>
      <c r="C231" s="7">
        <v>194</v>
      </c>
      <c r="D231" s="7">
        <v>598.45000000000005</v>
      </c>
      <c r="E231" s="7">
        <v>220.52</v>
      </c>
      <c r="F231" s="7">
        <v>89.68</v>
      </c>
      <c r="G231" s="7">
        <v>386.5</v>
      </c>
      <c r="H231">
        <f t="shared" si="18"/>
        <v>-1.3641304361909721E-2</v>
      </c>
      <c r="I231">
        <f t="shared" si="19"/>
        <v>-7.5487559016023205E-3</v>
      </c>
      <c r="J231">
        <f t="shared" si="20"/>
        <v>-1.3081412989408374E-2</v>
      </c>
      <c r="K231">
        <f t="shared" si="21"/>
        <v>-1.2482981318446117E-2</v>
      </c>
      <c r="L231">
        <f t="shared" si="22"/>
        <v>-2.5432096725161328E-2</v>
      </c>
      <c r="M231">
        <f t="shared" si="23"/>
        <v>2.5128570403173179E-3</v>
      </c>
    </row>
    <row r="232" spans="1:13" x14ac:dyDescent="0.2">
      <c r="A232" s="6">
        <v>45644</v>
      </c>
      <c r="B232" s="7">
        <v>130.35</v>
      </c>
      <c r="C232" s="7">
        <v>190.79</v>
      </c>
      <c r="D232" s="7">
        <v>583.89</v>
      </c>
      <c r="E232" s="7">
        <v>231.15</v>
      </c>
      <c r="F232" s="7">
        <v>91.55</v>
      </c>
      <c r="G232" s="7">
        <v>382.9</v>
      </c>
      <c r="H232">
        <f t="shared" si="18"/>
        <v>1.1418996079210928E-2</v>
      </c>
      <c r="I232">
        <f t="shared" si="19"/>
        <v>-1.6684812324108782E-2</v>
      </c>
      <c r="J232">
        <f t="shared" si="20"/>
        <v>-2.4630370396786224E-2</v>
      </c>
      <c r="K232">
        <f t="shared" si="21"/>
        <v>4.7078456712751605E-2</v>
      </c>
      <c r="L232">
        <f t="shared" si="22"/>
        <v>2.0637492356615165E-2</v>
      </c>
      <c r="M232">
        <f t="shared" si="23"/>
        <v>-9.3580095442278612E-3</v>
      </c>
    </row>
    <row r="233" spans="1:13" x14ac:dyDescent="0.2">
      <c r="A233" s="6">
        <v>45643</v>
      </c>
      <c r="B233" s="7">
        <v>131.96</v>
      </c>
      <c r="C233" s="7">
        <v>187.9</v>
      </c>
      <c r="D233" s="7">
        <v>594.17999999999995</v>
      </c>
      <c r="E233" s="7">
        <v>232.93</v>
      </c>
      <c r="F233" s="7">
        <v>92.7</v>
      </c>
      <c r="G233" s="7">
        <v>383.05</v>
      </c>
      <c r="H233">
        <f t="shared" si="18"/>
        <v>1.2275705980870136E-2</v>
      </c>
      <c r="I233">
        <f t="shared" si="19"/>
        <v>-1.5263440319799705E-2</v>
      </c>
      <c r="J233">
        <f t="shared" si="20"/>
        <v>1.7469694838673024E-2</v>
      </c>
      <c r="K233">
        <f t="shared" si="21"/>
        <v>7.6711288090285535E-3</v>
      </c>
      <c r="L233">
        <f t="shared" si="22"/>
        <v>1.2483201451289748E-2</v>
      </c>
      <c r="M233">
        <f t="shared" si="23"/>
        <v>3.9167047958123323E-4</v>
      </c>
    </row>
    <row r="234" spans="1:13" x14ac:dyDescent="0.2">
      <c r="A234" s="6">
        <v>45642</v>
      </c>
      <c r="B234" s="7">
        <v>134.21</v>
      </c>
      <c r="C234" s="7">
        <v>187.79</v>
      </c>
      <c r="D234" s="7">
        <v>595.79999999999995</v>
      </c>
      <c r="E234" s="7">
        <v>227.46</v>
      </c>
      <c r="F234" s="7">
        <v>92.85</v>
      </c>
      <c r="G234" s="7">
        <v>375.65</v>
      </c>
      <c r="H234">
        <f t="shared" si="18"/>
        <v>1.6906891049333961E-2</v>
      </c>
      <c r="I234">
        <f t="shared" si="19"/>
        <v>-5.8558919930475626E-4</v>
      </c>
      <c r="J234">
        <f t="shared" si="20"/>
        <v>2.7227365179155576E-3</v>
      </c>
      <c r="K234">
        <f t="shared" si="21"/>
        <v>-2.3763580486964579E-2</v>
      </c>
      <c r="L234">
        <f t="shared" si="22"/>
        <v>1.616815226905256E-3</v>
      </c>
      <c r="M234">
        <f t="shared" si="23"/>
        <v>-1.9507670147660451E-2</v>
      </c>
    </row>
    <row r="235" spans="1:13" x14ac:dyDescent="0.2">
      <c r="A235" s="6">
        <v>45639</v>
      </c>
      <c r="B235" s="7">
        <v>137.30000000000001</v>
      </c>
      <c r="C235" s="7">
        <v>194.78</v>
      </c>
      <c r="D235" s="7">
        <v>618</v>
      </c>
      <c r="E235" s="7">
        <v>228.97</v>
      </c>
      <c r="F235" s="7">
        <v>94.71</v>
      </c>
      <c r="G235" s="7">
        <v>384.24</v>
      </c>
      <c r="H235">
        <f t="shared" si="18"/>
        <v>2.2762575364210804E-2</v>
      </c>
      <c r="I235">
        <f t="shared" si="19"/>
        <v>3.6546399312938162E-2</v>
      </c>
      <c r="J235">
        <f t="shared" si="20"/>
        <v>3.6583417178509027E-2</v>
      </c>
      <c r="K235">
        <f t="shared" si="21"/>
        <v>6.6165918493073838E-3</v>
      </c>
      <c r="L235">
        <f t="shared" si="22"/>
        <v>1.9834303439295212E-2</v>
      </c>
      <c r="M235">
        <f t="shared" si="23"/>
        <v>2.2609498541399396E-2</v>
      </c>
    </row>
    <row r="236" spans="1:13" x14ac:dyDescent="0.2">
      <c r="A236" s="6">
        <v>45636</v>
      </c>
      <c r="B236" s="7">
        <v>138.77000000000001</v>
      </c>
      <c r="C236" s="7">
        <v>191.34</v>
      </c>
      <c r="D236" s="7">
        <v>618.41</v>
      </c>
      <c r="E236" s="7">
        <v>226.09</v>
      </c>
      <c r="F236" s="7">
        <v>93.55</v>
      </c>
      <c r="G236" s="7">
        <v>406.84</v>
      </c>
      <c r="H236">
        <f t="shared" si="18"/>
        <v>1.064957360899378E-2</v>
      </c>
      <c r="I236">
        <f t="shared" si="19"/>
        <v>-1.7818766283031945E-2</v>
      </c>
      <c r="J236">
        <f t="shared" si="20"/>
        <v>6.632104480359225E-4</v>
      </c>
      <c r="K236">
        <f t="shared" si="21"/>
        <v>-1.2657840517381001E-2</v>
      </c>
      <c r="L236">
        <f t="shared" si="22"/>
        <v>-1.2323538517911365E-2</v>
      </c>
      <c r="M236">
        <f t="shared" si="23"/>
        <v>5.7152630400826451E-2</v>
      </c>
    </row>
    <row r="237" spans="1:13" x14ac:dyDescent="0.2">
      <c r="A237" s="6">
        <v>45635</v>
      </c>
      <c r="B237" s="7">
        <v>142.4</v>
      </c>
      <c r="C237" s="7">
        <v>194.77</v>
      </c>
      <c r="D237" s="7">
        <v>628.80999999999995</v>
      </c>
      <c r="E237" s="7">
        <v>227.03</v>
      </c>
      <c r="F237" s="7">
        <v>93.18</v>
      </c>
      <c r="G237" s="7">
        <v>404.34</v>
      </c>
      <c r="H237">
        <f t="shared" si="18"/>
        <v>2.5822112594956183E-2</v>
      </c>
      <c r="I237">
        <f t="shared" si="19"/>
        <v>1.7767424991787167E-2</v>
      </c>
      <c r="J237">
        <f t="shared" si="20"/>
        <v>1.6677476390701627E-2</v>
      </c>
      <c r="K237">
        <f t="shared" si="21"/>
        <v>4.1490172513090348E-3</v>
      </c>
      <c r="L237">
        <f t="shared" si="22"/>
        <v>-3.9629463314478364E-3</v>
      </c>
      <c r="M237">
        <f t="shared" si="23"/>
        <v>-6.1638795712148E-3</v>
      </c>
    </row>
    <row r="238" spans="1:13" x14ac:dyDescent="0.2">
      <c r="A238" s="6">
        <v>45631</v>
      </c>
      <c r="B238" s="7">
        <v>145.02000000000001</v>
      </c>
      <c r="C238" s="7">
        <v>184.57</v>
      </c>
      <c r="D238" s="7">
        <v>630.70000000000005</v>
      </c>
      <c r="E238" s="7">
        <v>220.55</v>
      </c>
      <c r="F238" s="7">
        <v>94.04</v>
      </c>
      <c r="G238" s="7">
        <v>411.13</v>
      </c>
      <c r="H238">
        <f t="shared" si="18"/>
        <v>1.8231664965571315E-2</v>
      </c>
      <c r="I238">
        <f t="shared" si="19"/>
        <v>-5.3790579922608668E-2</v>
      </c>
      <c r="J238">
        <f t="shared" si="20"/>
        <v>3.0011693731770745E-3</v>
      </c>
      <c r="K238">
        <f t="shared" si="21"/>
        <v>-2.8957740788585127E-2</v>
      </c>
      <c r="L238">
        <f t="shared" si="22"/>
        <v>9.1871172832180704E-3</v>
      </c>
      <c r="M238">
        <f t="shared" si="23"/>
        <v>1.6653358000379242E-2</v>
      </c>
    </row>
    <row r="239" spans="1:13" x14ac:dyDescent="0.2">
      <c r="A239" s="6">
        <v>45630</v>
      </c>
      <c r="B239" s="7">
        <v>140.21</v>
      </c>
      <c r="C239" s="7">
        <v>174.8</v>
      </c>
      <c r="D239" s="7">
        <v>611.65</v>
      </c>
      <c r="E239" s="7">
        <v>213.44</v>
      </c>
      <c r="F239" s="7">
        <v>92.92</v>
      </c>
      <c r="G239" s="7">
        <v>418.74</v>
      </c>
      <c r="H239">
        <f t="shared" si="18"/>
        <v>-3.3730365210406475E-2</v>
      </c>
      <c r="I239">
        <f t="shared" si="19"/>
        <v>-5.4386332097764688E-2</v>
      </c>
      <c r="J239">
        <f t="shared" si="20"/>
        <v>-3.067009017668024E-2</v>
      </c>
      <c r="K239">
        <f t="shared" si="21"/>
        <v>-3.2768663823689877E-2</v>
      </c>
      <c r="L239">
        <f t="shared" si="22"/>
        <v>-1.1981315769660396E-2</v>
      </c>
      <c r="M239">
        <f t="shared" si="23"/>
        <v>1.8340736070555665E-2</v>
      </c>
    </row>
    <row r="240" spans="1:13" x14ac:dyDescent="0.2">
      <c r="A240" s="6">
        <v>45629</v>
      </c>
      <c r="B240" s="7">
        <v>138.58000000000001</v>
      </c>
      <c r="C240" s="7">
        <v>173.94</v>
      </c>
      <c r="D240" s="7">
        <v>621.80999999999995</v>
      </c>
      <c r="E240" s="7">
        <v>210.71</v>
      </c>
      <c r="F240" s="7">
        <v>94.78</v>
      </c>
      <c r="G240" s="7">
        <v>420.88</v>
      </c>
      <c r="H240">
        <f t="shared" si="18"/>
        <v>-1.1693522533804891E-2</v>
      </c>
      <c r="I240">
        <f t="shared" si="19"/>
        <v>-4.9320510598160703E-3</v>
      </c>
      <c r="J240">
        <f t="shared" si="20"/>
        <v>1.6474356343997493E-2</v>
      </c>
      <c r="K240">
        <f t="shared" si="21"/>
        <v>-1.2872982198542762E-2</v>
      </c>
      <c r="L240">
        <f t="shared" si="22"/>
        <v>1.9819508637233921E-2</v>
      </c>
      <c r="M240">
        <f t="shared" si="23"/>
        <v>5.0975551654365439E-3</v>
      </c>
    </row>
    <row r="241" spans="1:13" x14ac:dyDescent="0.2">
      <c r="A241" s="6">
        <v>45628</v>
      </c>
      <c r="B241" s="7">
        <v>138.19999999999999</v>
      </c>
      <c r="C241" s="7">
        <v>171.88</v>
      </c>
      <c r="D241" s="7">
        <v>607.02</v>
      </c>
      <c r="E241" s="7">
        <v>207.89</v>
      </c>
      <c r="F241" s="7">
        <v>94.38</v>
      </c>
      <c r="G241" s="7">
        <v>416.16</v>
      </c>
      <c r="H241">
        <f t="shared" si="18"/>
        <v>-2.7458648656659185E-3</v>
      </c>
      <c r="I241">
        <f t="shared" si="19"/>
        <v>-1.1913853254824774E-2</v>
      </c>
      <c r="J241">
        <f t="shared" si="20"/>
        <v>-2.4072840391068863E-2</v>
      </c>
      <c r="K241">
        <f t="shared" si="21"/>
        <v>-1.3473686869693413E-2</v>
      </c>
      <c r="L241">
        <f t="shared" si="22"/>
        <v>-4.2292302412008246E-3</v>
      </c>
      <c r="M241">
        <f t="shared" si="23"/>
        <v>-1.1277955722210332E-2</v>
      </c>
    </row>
    <row r="242" spans="1:13" x14ac:dyDescent="0.2">
      <c r="A242" s="6">
        <v>45625</v>
      </c>
      <c r="B242" s="7">
        <v>135.29</v>
      </c>
      <c r="C242" s="7">
        <v>173.6</v>
      </c>
      <c r="D242" s="7">
        <v>611.86</v>
      </c>
      <c r="E242" s="7">
        <v>205.74</v>
      </c>
      <c r="F242" s="7">
        <v>93.54</v>
      </c>
      <c r="G242" s="7">
        <v>417.51</v>
      </c>
      <c r="H242">
        <f t="shared" si="18"/>
        <v>-2.1281288718300567E-2</v>
      </c>
      <c r="I242">
        <f t="shared" si="19"/>
        <v>9.9572433194554388E-3</v>
      </c>
      <c r="J242">
        <f t="shared" si="20"/>
        <v>7.9417587273964037E-3</v>
      </c>
      <c r="K242">
        <f t="shared" si="21"/>
        <v>-1.0395857956138727E-2</v>
      </c>
      <c r="L242">
        <f t="shared" si="22"/>
        <v>-8.9400340005012149E-3</v>
      </c>
      <c r="M242">
        <f t="shared" si="23"/>
        <v>3.2386943995301736E-3</v>
      </c>
    </row>
    <row r="243" spans="1:13" x14ac:dyDescent="0.2">
      <c r="A243" s="6">
        <v>45623</v>
      </c>
      <c r="B243" s="7">
        <v>136.87</v>
      </c>
      <c r="C243" s="7">
        <v>170.59</v>
      </c>
      <c r="D243" s="7">
        <v>611.73</v>
      </c>
      <c r="E243" s="7">
        <v>207.86</v>
      </c>
      <c r="F243" s="7">
        <v>92.61</v>
      </c>
      <c r="G243" s="7">
        <v>418.91</v>
      </c>
      <c r="H243">
        <f t="shared" si="18"/>
        <v>1.1610947607906057E-2</v>
      </c>
      <c r="I243">
        <f t="shared" si="19"/>
        <v>-1.7490785533821628E-2</v>
      </c>
      <c r="J243">
        <f t="shared" si="20"/>
        <v>-2.1248947848401397E-4</v>
      </c>
      <c r="K243">
        <f t="shared" si="21"/>
        <v>1.0251540457391555E-2</v>
      </c>
      <c r="L243">
        <f t="shared" si="22"/>
        <v>-9.9920251155625976E-3</v>
      </c>
      <c r="M243">
        <f t="shared" si="23"/>
        <v>3.3476036140192332E-3</v>
      </c>
    </row>
    <row r="244" spans="1:13" x14ac:dyDescent="0.2">
      <c r="A244" s="6">
        <v>45622</v>
      </c>
      <c r="B244" s="7">
        <v>135.97</v>
      </c>
      <c r="C244" s="7">
        <v>170.74</v>
      </c>
      <c r="D244" s="7">
        <v>590.97</v>
      </c>
      <c r="E244" s="7">
        <v>201.45</v>
      </c>
      <c r="F244" s="7">
        <v>91.75</v>
      </c>
      <c r="G244" s="7">
        <v>416.57</v>
      </c>
      <c r="H244">
        <f t="shared" si="18"/>
        <v>-6.5972970555803478E-3</v>
      </c>
      <c r="I244">
        <f t="shared" si="19"/>
        <v>8.7891488973231599E-4</v>
      </c>
      <c r="J244">
        <f t="shared" si="20"/>
        <v>-3.4525753998392403E-2</v>
      </c>
      <c r="K244">
        <f t="shared" si="21"/>
        <v>-3.132356452291947E-2</v>
      </c>
      <c r="L244">
        <f t="shared" si="22"/>
        <v>-9.3296402474979615E-3</v>
      </c>
      <c r="M244">
        <f t="shared" si="23"/>
        <v>-5.6015850018167977E-3</v>
      </c>
    </row>
    <row r="245" spans="1:13" x14ac:dyDescent="0.2">
      <c r="A245" s="6">
        <v>45621</v>
      </c>
      <c r="B245" s="7">
        <v>141.9</v>
      </c>
      <c r="C245" s="7">
        <v>168.21</v>
      </c>
      <c r="D245" s="7">
        <v>572.52</v>
      </c>
      <c r="E245" s="7">
        <v>197.12</v>
      </c>
      <c r="F245" s="7">
        <v>91.61</v>
      </c>
      <c r="G245" s="7">
        <v>418.69</v>
      </c>
      <c r="H245">
        <f t="shared" si="18"/>
        <v>4.2688310998402319E-2</v>
      </c>
      <c r="I245">
        <f t="shared" si="19"/>
        <v>-1.4928732778469499E-2</v>
      </c>
      <c r="J245">
        <f t="shared" si="20"/>
        <v>-3.171758538035796E-2</v>
      </c>
      <c r="K245">
        <f t="shared" si="21"/>
        <v>-2.1728531292201189E-2</v>
      </c>
      <c r="L245">
        <f t="shared" si="22"/>
        <v>-1.5270509075623897E-3</v>
      </c>
      <c r="M245">
        <f t="shared" si="23"/>
        <v>5.0762745790395103E-3</v>
      </c>
    </row>
    <row r="246" spans="1:13" x14ac:dyDescent="0.2">
      <c r="A246" s="6">
        <v>45617</v>
      </c>
      <c r="B246" s="7">
        <v>145.84</v>
      </c>
      <c r="C246" s="7">
        <v>168.38</v>
      </c>
      <c r="D246" s="7">
        <v>571.74</v>
      </c>
      <c r="E246" s="7">
        <v>202.88</v>
      </c>
      <c r="F246" s="7">
        <v>90.43</v>
      </c>
      <c r="G246" s="7">
        <v>416.8</v>
      </c>
      <c r="H246">
        <f t="shared" si="18"/>
        <v>2.7387546204410525E-2</v>
      </c>
      <c r="I246">
        <f t="shared" si="19"/>
        <v>1.0101311058270932E-3</v>
      </c>
      <c r="J246">
        <f t="shared" si="20"/>
        <v>-1.3633267278640533E-3</v>
      </c>
      <c r="K246">
        <f t="shared" si="21"/>
        <v>2.8801990903706182E-2</v>
      </c>
      <c r="L246">
        <f t="shared" si="22"/>
        <v>-1.2964365274728469E-2</v>
      </c>
      <c r="M246">
        <f t="shared" si="23"/>
        <v>-4.5242988519563982E-3</v>
      </c>
    </row>
    <row r="247" spans="1:13" x14ac:dyDescent="0.2">
      <c r="A247" s="6">
        <v>45616</v>
      </c>
      <c r="B247" s="7">
        <v>146.96</v>
      </c>
      <c r="C247" s="7">
        <v>166.91</v>
      </c>
      <c r="D247" s="7">
        <v>563.34</v>
      </c>
      <c r="E247" s="7">
        <v>204.61</v>
      </c>
      <c r="F247" s="7">
        <v>88.64</v>
      </c>
      <c r="G247" s="7">
        <v>416.88</v>
      </c>
      <c r="H247">
        <f t="shared" si="18"/>
        <v>7.650310536462571E-3</v>
      </c>
      <c r="I247">
        <f t="shared" si="19"/>
        <v>-8.7685849191917881E-3</v>
      </c>
      <c r="J247">
        <f t="shared" si="20"/>
        <v>-1.4800989089640709E-2</v>
      </c>
      <c r="K247">
        <f t="shared" si="21"/>
        <v>8.4910569296068172E-3</v>
      </c>
      <c r="L247">
        <f t="shared" si="22"/>
        <v>-1.999284775341514E-2</v>
      </c>
      <c r="M247">
        <f t="shared" si="23"/>
        <v>1.9192016180200706E-4</v>
      </c>
    </row>
    <row r="248" spans="1:13" x14ac:dyDescent="0.2">
      <c r="A248" s="6">
        <v>45615</v>
      </c>
      <c r="B248" s="7">
        <v>140.1</v>
      </c>
      <c r="C248" s="7">
        <v>164.04</v>
      </c>
      <c r="D248" s="7">
        <v>557.39</v>
      </c>
      <c r="E248" s="7">
        <v>201.7</v>
      </c>
      <c r="F248" s="7">
        <v>89.57</v>
      </c>
      <c r="G248" s="7">
        <v>416.05</v>
      </c>
      <c r="H248">
        <f t="shared" si="18"/>
        <v>-4.7803987563908953E-2</v>
      </c>
      <c r="I248">
        <f t="shared" si="19"/>
        <v>-1.7344444466467657E-2</v>
      </c>
      <c r="J248">
        <f t="shared" si="20"/>
        <v>-1.0618179049341593E-2</v>
      </c>
      <c r="K248">
        <f t="shared" si="21"/>
        <v>-1.4324283218301877E-2</v>
      </c>
      <c r="L248">
        <f t="shared" si="22"/>
        <v>1.0437219488130187E-2</v>
      </c>
      <c r="M248">
        <f t="shared" si="23"/>
        <v>-1.9929652545202414E-3</v>
      </c>
    </row>
    <row r="249" spans="1:13" x14ac:dyDescent="0.2">
      <c r="A249" s="6">
        <v>45614</v>
      </c>
      <c r="B249" s="7">
        <v>141.93</v>
      </c>
      <c r="C249" s="7">
        <v>166.89</v>
      </c>
      <c r="D249" s="7">
        <v>561.32000000000005</v>
      </c>
      <c r="E249" s="7">
        <v>202.61</v>
      </c>
      <c r="F249" s="7">
        <v>87.54</v>
      </c>
      <c r="G249" s="7">
        <v>407.64</v>
      </c>
      <c r="H249">
        <f t="shared" si="18"/>
        <v>1.2977524968205176E-2</v>
      </c>
      <c r="I249">
        <f t="shared" si="19"/>
        <v>1.722461223145309E-2</v>
      </c>
      <c r="J249">
        <f t="shared" si="20"/>
        <v>7.0259784337656115E-3</v>
      </c>
      <c r="K249">
        <f t="shared" si="21"/>
        <v>4.5015039778938419E-3</v>
      </c>
      <c r="L249">
        <f t="shared" si="22"/>
        <v>-2.2924610724354484E-2</v>
      </c>
      <c r="M249">
        <f t="shared" si="23"/>
        <v>-2.0421013385946148E-2</v>
      </c>
    </row>
    <row r="250" spans="1:13" x14ac:dyDescent="0.2">
      <c r="A250" s="6">
        <v>45611</v>
      </c>
      <c r="B250" s="7">
        <v>146.71</v>
      </c>
      <c r="C250" s="7">
        <v>175.21</v>
      </c>
      <c r="D250" s="7">
        <v>563.75</v>
      </c>
      <c r="E250" s="7">
        <v>211.48</v>
      </c>
      <c r="F250" s="7">
        <v>86.34</v>
      </c>
      <c r="G250" s="7">
        <v>398.37</v>
      </c>
      <c r="H250">
        <f t="shared" si="18"/>
        <v>3.3123870840386212E-2</v>
      </c>
      <c r="I250">
        <f t="shared" si="19"/>
        <v>4.8650341743684787E-2</v>
      </c>
      <c r="J250">
        <f t="shared" si="20"/>
        <v>4.3197379339529563E-3</v>
      </c>
      <c r="K250">
        <f t="shared" si="21"/>
        <v>4.284748242918953E-2</v>
      </c>
      <c r="L250">
        <f t="shared" si="22"/>
        <v>-1.3802841635417845E-2</v>
      </c>
      <c r="M250">
        <f t="shared" si="23"/>
        <v>-2.300321029014693E-2</v>
      </c>
    </row>
    <row r="251" spans="1:13" x14ac:dyDescent="0.2">
      <c r="A251" s="6">
        <v>45610</v>
      </c>
      <c r="B251" s="7">
        <v>146.22</v>
      </c>
      <c r="C251" s="7">
        <v>177.34</v>
      </c>
      <c r="D251" s="7">
        <v>559.33000000000004</v>
      </c>
      <c r="E251" s="7">
        <v>214.1</v>
      </c>
      <c r="F251" s="7">
        <v>85.76</v>
      </c>
      <c r="G251" s="7">
        <v>388.23</v>
      </c>
      <c r="H251">
        <f t="shared" si="18"/>
        <v>-3.3455122863829058E-3</v>
      </c>
      <c r="I251">
        <f t="shared" si="19"/>
        <v>1.2083539452864851E-2</v>
      </c>
      <c r="J251">
        <f t="shared" si="20"/>
        <v>-7.8712519511700881E-3</v>
      </c>
      <c r="K251">
        <f t="shared" si="21"/>
        <v>1.2312764228387776E-2</v>
      </c>
      <c r="L251">
        <f t="shared" si="22"/>
        <v>-6.7402928048395788E-3</v>
      </c>
      <c r="M251">
        <f t="shared" si="23"/>
        <v>-2.5783274168657406E-2</v>
      </c>
    </row>
    <row r="252" spans="1:13" x14ac:dyDescent="0.2">
      <c r="A252" s="6">
        <v>45609</v>
      </c>
      <c r="B252" s="7">
        <v>148.24</v>
      </c>
      <c r="C252" s="7">
        <v>174.53</v>
      </c>
      <c r="D252" s="7">
        <v>552.66</v>
      </c>
      <c r="E252" s="7">
        <v>208.91</v>
      </c>
      <c r="F252" s="7">
        <v>83.27</v>
      </c>
      <c r="G252" s="7">
        <v>394.83</v>
      </c>
      <c r="H252">
        <f t="shared" si="18"/>
        <v>1.3720245111934509E-2</v>
      </c>
      <c r="I252">
        <f t="shared" si="19"/>
        <v>-1.5972147315115742E-2</v>
      </c>
      <c r="J252">
        <f t="shared" si="20"/>
        <v>-1.1996654637518776E-2</v>
      </c>
      <c r="K252">
        <f t="shared" si="21"/>
        <v>-2.4539658384679142E-2</v>
      </c>
      <c r="L252">
        <f t="shared" si="22"/>
        <v>-2.9464357074764008E-2</v>
      </c>
      <c r="M252">
        <f t="shared" si="23"/>
        <v>1.6857345012653475E-2</v>
      </c>
    </row>
    <row r="253" spans="1:13" x14ac:dyDescent="0.2">
      <c r="A253" s="6">
        <v>45608</v>
      </c>
      <c r="B253" s="7">
        <v>145.21</v>
      </c>
      <c r="C253" s="7">
        <v>171.73</v>
      </c>
      <c r="D253" s="7">
        <v>552.34</v>
      </c>
      <c r="E253" s="7">
        <v>206.84</v>
      </c>
      <c r="F253" s="7">
        <v>83.44</v>
      </c>
      <c r="G253" s="7">
        <v>398.36</v>
      </c>
      <c r="H253">
        <f t="shared" si="18"/>
        <v>-2.0651611434458261E-2</v>
      </c>
      <c r="I253">
        <f t="shared" si="19"/>
        <v>-1.6173170640974666E-2</v>
      </c>
      <c r="J253">
        <f t="shared" si="20"/>
        <v>-5.7918553655282633E-4</v>
      </c>
      <c r="K253">
        <f t="shared" si="21"/>
        <v>-9.9579896829371829E-3</v>
      </c>
      <c r="L253">
        <f t="shared" si="22"/>
        <v>2.0394704447891355E-3</v>
      </c>
      <c r="M253">
        <f t="shared" si="23"/>
        <v>8.9008265490969213E-3</v>
      </c>
    </row>
    <row r="254" spans="1:13" x14ac:dyDescent="0.2">
      <c r="A254" s="6">
        <v>45607</v>
      </c>
      <c r="B254" s="7">
        <v>147.58000000000001</v>
      </c>
      <c r="C254" s="7">
        <v>174.81</v>
      </c>
      <c r="D254" s="7">
        <v>575.35</v>
      </c>
      <c r="E254" s="7">
        <v>208.18</v>
      </c>
      <c r="F254" s="7">
        <v>83.65</v>
      </c>
      <c r="G254" s="7">
        <v>396.16</v>
      </c>
      <c r="H254">
        <f t="shared" si="18"/>
        <v>1.6189431087574618E-2</v>
      </c>
      <c r="I254">
        <f t="shared" si="19"/>
        <v>1.7776193827321915E-2</v>
      </c>
      <c r="J254">
        <f t="shared" si="20"/>
        <v>4.081475257782137E-2</v>
      </c>
      <c r="K254">
        <f t="shared" si="21"/>
        <v>6.4575425593015523E-3</v>
      </c>
      <c r="L254">
        <f t="shared" si="22"/>
        <v>2.5136167403161211E-3</v>
      </c>
      <c r="M254">
        <f t="shared" si="23"/>
        <v>-5.5379490072622215E-3</v>
      </c>
    </row>
    <row r="255" spans="1:13" x14ac:dyDescent="0.2">
      <c r="A255" s="6">
        <v>45604</v>
      </c>
      <c r="B255" s="7">
        <v>148.83000000000001</v>
      </c>
      <c r="C255" s="7">
        <v>178.09</v>
      </c>
      <c r="D255" s="7">
        <v>578.17999999999995</v>
      </c>
      <c r="E255" s="7">
        <v>210.05</v>
      </c>
      <c r="F255" s="7">
        <v>84.67</v>
      </c>
      <c r="G255" s="7">
        <v>393.78</v>
      </c>
      <c r="H255">
        <f t="shared" si="18"/>
        <v>8.4343133508465555E-3</v>
      </c>
      <c r="I255">
        <f t="shared" si="19"/>
        <v>1.8589370664821768E-2</v>
      </c>
      <c r="J255">
        <f t="shared" si="20"/>
        <v>4.9066876072970658E-3</v>
      </c>
      <c r="K255">
        <f t="shared" si="21"/>
        <v>8.9425075280687057E-3</v>
      </c>
      <c r="L255">
        <f t="shared" si="22"/>
        <v>1.2119920221352833E-2</v>
      </c>
      <c r="M255">
        <f t="shared" si="23"/>
        <v>-6.0257923424903766E-3</v>
      </c>
    </row>
    <row r="256" spans="1:13" x14ac:dyDescent="0.2">
      <c r="A256" s="6">
        <v>45603</v>
      </c>
      <c r="B256" s="7">
        <v>145.56</v>
      </c>
      <c r="C256" s="7">
        <v>180.82</v>
      </c>
      <c r="D256" s="7">
        <v>582.99</v>
      </c>
      <c r="E256" s="7">
        <v>207.09</v>
      </c>
      <c r="F256" s="7">
        <v>84.17</v>
      </c>
      <c r="G256" s="7">
        <v>398.12</v>
      </c>
      <c r="H256">
        <f t="shared" si="18"/>
        <v>-2.2216342237108236E-2</v>
      </c>
      <c r="I256">
        <f t="shared" si="19"/>
        <v>1.5213020821305967E-2</v>
      </c>
      <c r="J256">
        <f t="shared" si="20"/>
        <v>8.2847946679571252E-3</v>
      </c>
      <c r="K256">
        <f t="shared" si="21"/>
        <v>-1.4192116231897185E-2</v>
      </c>
      <c r="L256">
        <f t="shared" si="22"/>
        <v>-5.9227844307011409E-3</v>
      </c>
      <c r="M256">
        <f t="shared" si="23"/>
        <v>1.0961089664176553E-2</v>
      </c>
    </row>
    <row r="257" spans="1:13" x14ac:dyDescent="0.2">
      <c r="A257" s="6">
        <v>45602</v>
      </c>
      <c r="B257" s="7">
        <v>139.86000000000001</v>
      </c>
      <c r="C257" s="7">
        <v>179.56</v>
      </c>
      <c r="D257" s="7">
        <v>581.34</v>
      </c>
      <c r="E257" s="7">
        <v>199.5</v>
      </c>
      <c r="F257" s="7">
        <v>83.4</v>
      </c>
      <c r="G257" s="7">
        <v>391.22</v>
      </c>
      <c r="H257">
        <f t="shared" si="18"/>
        <v>-3.9946450468238248E-2</v>
      </c>
      <c r="I257">
        <f t="shared" si="19"/>
        <v>-6.9926473954890029E-3</v>
      </c>
      <c r="J257">
        <f t="shared" si="20"/>
        <v>-2.8342499197539159E-3</v>
      </c>
      <c r="K257">
        <f t="shared" si="21"/>
        <v>-3.7339245053575804E-2</v>
      </c>
      <c r="L257">
        <f t="shared" si="22"/>
        <v>-9.1902538587835658E-3</v>
      </c>
      <c r="M257">
        <f t="shared" si="23"/>
        <v>-1.7483405779649439E-2</v>
      </c>
    </row>
    <row r="258" spans="1:13" x14ac:dyDescent="0.2">
      <c r="A258" s="6">
        <v>45601</v>
      </c>
      <c r="B258" s="7">
        <v>136</v>
      </c>
      <c r="C258" s="7">
        <v>177.57</v>
      </c>
      <c r="D258" s="7">
        <v>587.49</v>
      </c>
      <c r="E258" s="7">
        <v>195.78</v>
      </c>
      <c r="F258" s="7">
        <v>84.01</v>
      </c>
      <c r="G258" s="7">
        <v>396.27</v>
      </c>
      <c r="H258">
        <f t="shared" si="18"/>
        <v>-2.798703653966882E-2</v>
      </c>
      <c r="I258">
        <f t="shared" si="19"/>
        <v>-1.1144516542988012E-2</v>
      </c>
      <c r="J258">
        <f t="shared" si="20"/>
        <v>1.0523440971886957E-2</v>
      </c>
      <c r="K258">
        <f t="shared" si="21"/>
        <v>-1.8822656496633863E-2</v>
      </c>
      <c r="L258">
        <f t="shared" si="22"/>
        <v>7.2875300120546146E-3</v>
      </c>
      <c r="M258">
        <f t="shared" si="23"/>
        <v>1.2825735505668357E-2</v>
      </c>
    </row>
    <row r="259" spans="1:13" x14ac:dyDescent="0.2">
      <c r="A259" s="6">
        <v>45600</v>
      </c>
      <c r="B259" s="7">
        <v>135.35</v>
      </c>
      <c r="C259" s="7">
        <v>179.96</v>
      </c>
      <c r="D259" s="7">
        <v>589.85</v>
      </c>
      <c r="E259" s="7">
        <v>197.93</v>
      </c>
      <c r="F259" s="7">
        <v>83.04</v>
      </c>
      <c r="G259" s="7">
        <v>393.95</v>
      </c>
      <c r="H259">
        <f t="shared" si="18"/>
        <v>-4.7908696757419135E-3</v>
      </c>
      <c r="I259">
        <f t="shared" si="19"/>
        <v>1.3369706602228252E-2</v>
      </c>
      <c r="J259">
        <f t="shared" si="20"/>
        <v>4.0090426909968942E-3</v>
      </c>
      <c r="K259">
        <f t="shared" si="21"/>
        <v>1.0921852999359525E-2</v>
      </c>
      <c r="L259">
        <f t="shared" si="22"/>
        <v>-1.1613419959177243E-2</v>
      </c>
      <c r="M259">
        <f t="shared" si="23"/>
        <v>-5.8717994121847365E-3</v>
      </c>
    </row>
    <row r="260" spans="1:13" x14ac:dyDescent="0.2">
      <c r="A260" s="6">
        <v>45597</v>
      </c>
      <c r="B260" s="7">
        <v>132.71</v>
      </c>
      <c r="C260" s="7">
        <v>175.74</v>
      </c>
      <c r="D260" s="7">
        <v>570.26</v>
      </c>
      <c r="E260" s="7">
        <v>186.4</v>
      </c>
      <c r="F260" s="7">
        <v>82.63</v>
      </c>
      <c r="G260" s="7">
        <v>387.68</v>
      </c>
      <c r="H260">
        <f t="shared" ref="H260:H323" si="24">LN(B260/B259)</f>
        <v>-1.969771961115219E-2</v>
      </c>
      <c r="I260">
        <f t="shared" ref="I260:I323" si="25">LN(C260/C259)</f>
        <v>-2.3728973905274457E-2</v>
      </c>
      <c r="J260">
        <f t="shared" ref="J260:J323" si="26">LN(D260/D259)</f>
        <v>-3.3775870108763664E-2</v>
      </c>
      <c r="K260">
        <f t="shared" ref="K260:K323" si="27">LN(E260/E259)</f>
        <v>-6.001853058115289E-2</v>
      </c>
      <c r="L260">
        <f t="shared" ref="L260:L323" si="28">LN(F260/F259)</f>
        <v>-4.9496087044856871E-3</v>
      </c>
      <c r="M260">
        <f t="shared" ref="M260:M323" si="29">LN(G260/G259)</f>
        <v>-1.6043740623481482E-2</v>
      </c>
    </row>
    <row r="261" spans="1:13" x14ac:dyDescent="0.2">
      <c r="A261" s="6">
        <v>45596</v>
      </c>
      <c r="B261" s="7">
        <v>139.29</v>
      </c>
      <c r="C261" s="7">
        <v>168.99</v>
      </c>
      <c r="D261" s="7">
        <v>570.64</v>
      </c>
      <c r="E261" s="7">
        <v>192.73</v>
      </c>
      <c r="F261" s="7">
        <v>82.87</v>
      </c>
      <c r="G261" s="7">
        <v>376.94</v>
      </c>
      <c r="H261">
        <f t="shared" si="24"/>
        <v>4.8391794250782098E-2</v>
      </c>
      <c r="I261">
        <f t="shared" si="25"/>
        <v>-3.9166088492964789E-2</v>
      </c>
      <c r="J261">
        <f t="shared" si="26"/>
        <v>6.6614079069491651E-4</v>
      </c>
      <c r="K261">
        <f t="shared" si="27"/>
        <v>3.3395343459469304E-2</v>
      </c>
      <c r="L261">
        <f t="shared" si="28"/>
        <v>2.9003041478582116E-3</v>
      </c>
      <c r="M261">
        <f t="shared" si="29"/>
        <v>-2.8094233479733857E-2</v>
      </c>
    </row>
    <row r="262" spans="1:13" x14ac:dyDescent="0.2">
      <c r="A262" s="6">
        <v>45595</v>
      </c>
      <c r="B262" s="7">
        <v>141.19999999999999</v>
      </c>
      <c r="C262" s="7">
        <v>168.5</v>
      </c>
      <c r="D262" s="7">
        <v>558.91999999999996</v>
      </c>
      <c r="E262" s="7">
        <v>190.83</v>
      </c>
      <c r="F262" s="7">
        <v>81.650000000000006</v>
      </c>
      <c r="G262" s="7">
        <v>388.31</v>
      </c>
      <c r="H262">
        <f t="shared" si="24"/>
        <v>1.3619234359201635E-2</v>
      </c>
      <c r="I262">
        <f t="shared" si="25"/>
        <v>-2.9037917823159574E-3</v>
      </c>
      <c r="J262">
        <f t="shared" si="26"/>
        <v>-2.0752187757535609E-2</v>
      </c>
      <c r="K262">
        <f t="shared" si="27"/>
        <v>-9.9072663521375202E-3</v>
      </c>
      <c r="L262">
        <f t="shared" si="28"/>
        <v>-1.4831295444476955E-2</v>
      </c>
      <c r="M262">
        <f t="shared" si="29"/>
        <v>2.9717966101073367E-2</v>
      </c>
    </row>
    <row r="263" spans="1:13" x14ac:dyDescent="0.2">
      <c r="A263" s="6">
        <v>45594</v>
      </c>
      <c r="B263" s="7">
        <v>140.47</v>
      </c>
      <c r="C263" s="7">
        <v>170.54</v>
      </c>
      <c r="D263" s="7">
        <v>565.38</v>
      </c>
      <c r="E263" s="7">
        <v>188.39</v>
      </c>
      <c r="F263" s="7">
        <v>81.400000000000006</v>
      </c>
      <c r="G263" s="7">
        <v>383.93</v>
      </c>
      <c r="H263">
        <f t="shared" si="24"/>
        <v>-5.1833822163231289E-3</v>
      </c>
      <c r="I263">
        <f t="shared" si="25"/>
        <v>1.2034123521487139E-2</v>
      </c>
      <c r="J263">
        <f t="shared" si="26"/>
        <v>1.1491721234472792E-2</v>
      </c>
      <c r="K263">
        <f t="shared" si="27"/>
        <v>-1.2868697181539745E-2</v>
      </c>
      <c r="L263">
        <f t="shared" si="28"/>
        <v>-3.0665464079794621E-3</v>
      </c>
      <c r="M263">
        <f t="shared" si="29"/>
        <v>-1.1343745385640328E-2</v>
      </c>
    </row>
    <row r="264" spans="1:13" x14ac:dyDescent="0.2">
      <c r="A264" s="6">
        <v>45593</v>
      </c>
      <c r="B264" s="7">
        <v>141.49</v>
      </c>
      <c r="C264" s="7">
        <v>170.36</v>
      </c>
      <c r="D264" s="7">
        <v>565.79999999999995</v>
      </c>
      <c r="E264" s="7">
        <v>187.83</v>
      </c>
      <c r="F264" s="7">
        <v>81.16</v>
      </c>
      <c r="G264" s="7">
        <v>381.03</v>
      </c>
      <c r="H264">
        <f t="shared" si="24"/>
        <v>7.235100365042618E-3</v>
      </c>
      <c r="I264">
        <f t="shared" si="25"/>
        <v>-1.0560282588906557E-3</v>
      </c>
      <c r="J264">
        <f t="shared" si="26"/>
        <v>7.4258742074688228E-4</v>
      </c>
      <c r="K264">
        <f t="shared" si="27"/>
        <v>-2.9769837519540536E-3</v>
      </c>
      <c r="L264">
        <f t="shared" si="28"/>
        <v>-2.9527580508807113E-3</v>
      </c>
      <c r="M264">
        <f t="shared" si="29"/>
        <v>-7.5821321195771009E-3</v>
      </c>
    </row>
    <row r="265" spans="1:13" x14ac:dyDescent="0.2">
      <c r="A265" s="6">
        <v>45590</v>
      </c>
      <c r="B265" s="7">
        <v>140.36000000000001</v>
      </c>
      <c r="C265" s="7">
        <v>173.69</v>
      </c>
      <c r="D265" s="7">
        <v>589.94000000000005</v>
      </c>
      <c r="E265" s="7">
        <v>186.38</v>
      </c>
      <c r="F265" s="7">
        <v>80.599999999999994</v>
      </c>
      <c r="G265" s="7">
        <v>382.16</v>
      </c>
      <c r="H265">
        <f t="shared" si="24"/>
        <v>-8.0184924928464948E-3</v>
      </c>
      <c r="I265">
        <f t="shared" si="25"/>
        <v>1.9358256010908459E-2</v>
      </c>
      <c r="J265">
        <f t="shared" si="26"/>
        <v>4.1780177945765849E-2</v>
      </c>
      <c r="K265">
        <f t="shared" si="27"/>
        <v>-7.7496980678194794E-3</v>
      </c>
      <c r="L265">
        <f t="shared" si="28"/>
        <v>-6.9238654450314158E-3</v>
      </c>
      <c r="M265">
        <f t="shared" si="29"/>
        <v>2.961256897368827E-3</v>
      </c>
    </row>
    <row r="266" spans="1:13" x14ac:dyDescent="0.2">
      <c r="A266" s="6">
        <v>45589</v>
      </c>
      <c r="B266" s="7">
        <v>139.51</v>
      </c>
      <c r="C266" s="7">
        <v>168.93</v>
      </c>
      <c r="D266" s="7">
        <v>591.41999999999996</v>
      </c>
      <c r="E266" s="7">
        <v>184.71</v>
      </c>
      <c r="F266" s="7">
        <v>80.91</v>
      </c>
      <c r="G266" s="7">
        <v>380.97</v>
      </c>
      <c r="H266">
        <f t="shared" si="24"/>
        <v>-6.074267434997861E-3</v>
      </c>
      <c r="I266">
        <f t="shared" si="25"/>
        <v>-2.7787673131284354E-2</v>
      </c>
      <c r="J266">
        <f t="shared" si="26"/>
        <v>2.5055880921699605E-3</v>
      </c>
      <c r="K266">
        <f t="shared" si="27"/>
        <v>-9.000572766280919E-3</v>
      </c>
      <c r="L266">
        <f t="shared" si="28"/>
        <v>3.8387763071656669E-3</v>
      </c>
      <c r="M266">
        <f t="shared" si="29"/>
        <v>-3.1187372126547275E-3</v>
      </c>
    </row>
    <row r="267" spans="1:13" x14ac:dyDescent="0.2">
      <c r="A267" s="6">
        <v>45588</v>
      </c>
      <c r="B267" s="7">
        <v>143.54</v>
      </c>
      <c r="C267" s="7">
        <v>165.99</v>
      </c>
      <c r="D267" s="7">
        <v>576.35</v>
      </c>
      <c r="E267" s="7">
        <v>189.7</v>
      </c>
      <c r="F267" s="7">
        <v>81.95</v>
      </c>
      <c r="G267" s="7">
        <v>383.44</v>
      </c>
      <c r="H267">
        <f t="shared" si="24"/>
        <v>2.8477458721909113E-2</v>
      </c>
      <c r="I267">
        <f t="shared" si="25"/>
        <v>-1.755688235650878E-2</v>
      </c>
      <c r="J267">
        <f t="shared" si="26"/>
        <v>-2.581130985838093E-2</v>
      </c>
      <c r="K267">
        <f t="shared" si="27"/>
        <v>2.6656849349739886E-2</v>
      </c>
      <c r="L267">
        <f t="shared" si="28"/>
        <v>1.2771879370090547E-2</v>
      </c>
      <c r="M267">
        <f t="shared" si="29"/>
        <v>6.4625229823240737E-3</v>
      </c>
    </row>
    <row r="268" spans="1:13" x14ac:dyDescent="0.2">
      <c r="A268" s="6">
        <v>45587</v>
      </c>
      <c r="B268" s="7">
        <v>143.66</v>
      </c>
      <c r="C268" s="7">
        <v>164.54</v>
      </c>
      <c r="D268" s="7">
        <v>571.45000000000005</v>
      </c>
      <c r="E268" s="7">
        <v>189.07</v>
      </c>
      <c r="F268" s="7">
        <v>81.709999999999994</v>
      </c>
      <c r="G268" s="7">
        <v>391.03</v>
      </c>
      <c r="H268">
        <f t="shared" si="24"/>
        <v>8.356546447296963E-4</v>
      </c>
      <c r="I268">
        <f t="shared" si="25"/>
        <v>-8.7738438373439181E-3</v>
      </c>
      <c r="J268">
        <f t="shared" si="26"/>
        <v>-8.538124703414569E-3</v>
      </c>
      <c r="K268">
        <f t="shared" si="27"/>
        <v>-3.3265600811309653E-3</v>
      </c>
      <c r="L268">
        <f t="shared" si="28"/>
        <v>-2.9329117932226797E-3</v>
      </c>
      <c r="M268">
        <f t="shared" si="29"/>
        <v>1.9601128533385533E-2</v>
      </c>
    </row>
    <row r="269" spans="1:13" x14ac:dyDescent="0.2">
      <c r="A269" s="6">
        <v>45586</v>
      </c>
      <c r="B269" s="7">
        <v>137.94999999999999</v>
      </c>
      <c r="C269" s="7">
        <v>162.01</v>
      </c>
      <c r="D269" s="7">
        <v>566</v>
      </c>
      <c r="E269" s="7">
        <v>188.99</v>
      </c>
      <c r="F269" s="7">
        <v>82.24</v>
      </c>
      <c r="G269" s="7">
        <v>387.17</v>
      </c>
      <c r="H269">
        <f t="shared" si="24"/>
        <v>-4.0558095983360458E-2</v>
      </c>
      <c r="I269">
        <f t="shared" si="25"/>
        <v>-1.5495640018457444E-2</v>
      </c>
      <c r="J269">
        <f t="shared" si="26"/>
        <v>-9.582912140424036E-3</v>
      </c>
      <c r="K269">
        <f t="shared" si="27"/>
        <v>-4.2321325289135795E-4</v>
      </c>
      <c r="L269">
        <f t="shared" si="28"/>
        <v>6.4654083102390235E-3</v>
      </c>
      <c r="M269">
        <f t="shared" si="29"/>
        <v>-9.9204103228614279E-3</v>
      </c>
    </row>
    <row r="270" spans="1:13" x14ac:dyDescent="0.2">
      <c r="A270" s="6">
        <v>45583</v>
      </c>
      <c r="B270" s="7">
        <v>136.88</v>
      </c>
      <c r="C270" s="7">
        <v>162.07</v>
      </c>
      <c r="D270" s="7">
        <v>561.91999999999996</v>
      </c>
      <c r="E270" s="7">
        <v>187.53</v>
      </c>
      <c r="F270" s="7">
        <v>82.47</v>
      </c>
      <c r="G270" s="7">
        <v>390.83</v>
      </c>
      <c r="H270">
        <f t="shared" si="24"/>
        <v>-7.7866710793569908E-3</v>
      </c>
      <c r="I270">
        <f t="shared" si="25"/>
        <v>3.7027894770139109E-4</v>
      </c>
      <c r="J270">
        <f t="shared" si="26"/>
        <v>-7.2345871964858066E-3</v>
      </c>
      <c r="K270">
        <f t="shared" si="27"/>
        <v>-7.7552709951154326E-3</v>
      </c>
      <c r="L270">
        <f t="shared" si="28"/>
        <v>2.7927891384091595E-3</v>
      </c>
      <c r="M270">
        <f t="shared" si="29"/>
        <v>9.4088097694062737E-3</v>
      </c>
    </row>
    <row r="271" spans="1:13" x14ac:dyDescent="0.2">
      <c r="A271" s="6">
        <v>45582</v>
      </c>
      <c r="B271" s="7">
        <v>135.66999999999999</v>
      </c>
      <c r="C271" s="7">
        <v>164.41</v>
      </c>
      <c r="D271" s="7">
        <v>580.19000000000005</v>
      </c>
      <c r="E271" s="7">
        <v>186.89</v>
      </c>
      <c r="F271" s="7">
        <v>81.23</v>
      </c>
      <c r="G271" s="7">
        <v>387.88</v>
      </c>
      <c r="H271">
        <f t="shared" si="24"/>
        <v>-8.879163086720876E-3</v>
      </c>
      <c r="I271">
        <f t="shared" si="25"/>
        <v>1.4334967352757425E-2</v>
      </c>
      <c r="J271">
        <f t="shared" si="26"/>
        <v>3.1996145096018225E-2</v>
      </c>
      <c r="K271">
        <f t="shared" si="27"/>
        <v>-3.4186241296195016E-3</v>
      </c>
      <c r="L271">
        <f t="shared" si="28"/>
        <v>-1.5149953782401505E-2</v>
      </c>
      <c r="M271">
        <f t="shared" si="29"/>
        <v>-7.5766693949607311E-3</v>
      </c>
    </row>
    <row r="272" spans="1:13" x14ac:dyDescent="0.2">
      <c r="A272" s="6">
        <v>45581</v>
      </c>
      <c r="B272" s="7">
        <v>131.55000000000001</v>
      </c>
      <c r="C272" s="7">
        <v>163.35</v>
      </c>
      <c r="D272" s="7">
        <v>573.36</v>
      </c>
      <c r="E272" s="7">
        <v>187.69</v>
      </c>
      <c r="F272" s="7">
        <v>80.03</v>
      </c>
      <c r="G272" s="7">
        <v>390.02</v>
      </c>
      <c r="H272">
        <f t="shared" si="24"/>
        <v>-3.0838459010915243E-2</v>
      </c>
      <c r="I272">
        <f t="shared" si="25"/>
        <v>-6.4681699757064576E-3</v>
      </c>
      <c r="J272">
        <f t="shared" si="26"/>
        <v>-1.184184441705154E-2</v>
      </c>
      <c r="K272">
        <f t="shared" si="27"/>
        <v>4.2714571859473255E-3</v>
      </c>
      <c r="L272">
        <f t="shared" si="28"/>
        <v>-1.4883072683907721E-2</v>
      </c>
      <c r="M272">
        <f t="shared" si="29"/>
        <v>5.5020064237490838E-3</v>
      </c>
    </row>
    <row r="273" spans="1:13" x14ac:dyDescent="0.2">
      <c r="A273" s="6">
        <v>45580</v>
      </c>
      <c r="B273" s="7">
        <v>138.02000000000001</v>
      </c>
      <c r="C273" s="7">
        <v>162.69999999999999</v>
      </c>
      <c r="D273" s="7">
        <v>574.66</v>
      </c>
      <c r="E273" s="7">
        <v>187.54</v>
      </c>
      <c r="F273" s="7">
        <v>80.52</v>
      </c>
      <c r="G273" s="7">
        <v>394.44</v>
      </c>
      <c r="H273">
        <f t="shared" si="24"/>
        <v>4.8011594706154043E-2</v>
      </c>
      <c r="I273">
        <f t="shared" si="25"/>
        <v>-3.9871238220871071E-3</v>
      </c>
      <c r="J273">
        <f t="shared" si="26"/>
        <v>2.264769874499349E-3</v>
      </c>
      <c r="K273">
        <f t="shared" si="27"/>
        <v>-7.9950967667938419E-4</v>
      </c>
      <c r="L273">
        <f t="shared" si="28"/>
        <v>6.1040363926359214E-3</v>
      </c>
      <c r="M273">
        <f t="shared" si="29"/>
        <v>1.1269017604033668E-2</v>
      </c>
    </row>
    <row r="274" spans="1:13" x14ac:dyDescent="0.2">
      <c r="A274" s="6">
        <v>45579</v>
      </c>
      <c r="B274" s="7">
        <v>134.75</v>
      </c>
      <c r="C274" s="7">
        <v>162.21</v>
      </c>
      <c r="D274" s="7">
        <v>575.12</v>
      </c>
      <c r="E274" s="7">
        <v>188.82</v>
      </c>
      <c r="F274" s="7">
        <v>80.11</v>
      </c>
      <c r="G274" s="7">
        <v>402.78</v>
      </c>
      <c r="H274">
        <f t="shared" si="24"/>
        <v>-2.3977392403349257E-2</v>
      </c>
      <c r="I274">
        <f t="shared" si="25"/>
        <v>-3.0162221629687681E-3</v>
      </c>
      <c r="J274">
        <f t="shared" si="26"/>
        <v>8.0015311545291433E-4</v>
      </c>
      <c r="K274">
        <f t="shared" si="27"/>
        <v>6.8020243128914916E-3</v>
      </c>
      <c r="L274">
        <f t="shared" si="28"/>
        <v>-5.1049105445652278E-3</v>
      </c>
      <c r="M274">
        <f t="shared" si="29"/>
        <v>2.0923469714586751E-2</v>
      </c>
    </row>
    <row r="275" spans="1:13" x14ac:dyDescent="0.2">
      <c r="A275" s="6">
        <v>45576</v>
      </c>
      <c r="B275" s="7">
        <v>134.76</v>
      </c>
      <c r="C275" s="7">
        <v>164.43</v>
      </c>
      <c r="D275" s="7">
        <v>574.98</v>
      </c>
      <c r="E275" s="7">
        <v>186.65</v>
      </c>
      <c r="F275" s="7">
        <v>80.44</v>
      </c>
      <c r="G275" s="7">
        <v>403.37</v>
      </c>
      <c r="H275">
        <f t="shared" si="24"/>
        <v>7.4208749245628544E-5</v>
      </c>
      <c r="I275">
        <f t="shared" si="25"/>
        <v>1.3593155664111501E-2</v>
      </c>
      <c r="J275">
        <f t="shared" si="26"/>
        <v>-2.4345709189021043E-4</v>
      </c>
      <c r="K275">
        <f t="shared" si="27"/>
        <v>-1.155897494377762E-2</v>
      </c>
      <c r="L275">
        <f t="shared" si="28"/>
        <v>4.1108746774259257E-3</v>
      </c>
      <c r="M275">
        <f t="shared" si="29"/>
        <v>1.4637477028901307E-3</v>
      </c>
    </row>
    <row r="276" spans="1:13" x14ac:dyDescent="0.2">
      <c r="A276" s="6">
        <v>45575</v>
      </c>
      <c r="B276" s="7">
        <v>132.6</v>
      </c>
      <c r="C276" s="7">
        <v>164.73</v>
      </c>
      <c r="D276" s="7">
        <v>584.42999999999995</v>
      </c>
      <c r="E276" s="7">
        <v>185.17</v>
      </c>
      <c r="F276" s="7">
        <v>80.86</v>
      </c>
      <c r="G276" s="7">
        <v>406.29</v>
      </c>
      <c r="H276">
        <f t="shared" si="24"/>
        <v>-1.6158340786589943E-2</v>
      </c>
      <c r="I276">
        <f t="shared" si="25"/>
        <v>1.8228222327561871E-3</v>
      </c>
      <c r="J276">
        <f t="shared" si="26"/>
        <v>1.6301755677496563E-2</v>
      </c>
      <c r="K276">
        <f t="shared" si="27"/>
        <v>-7.9608833108683486E-3</v>
      </c>
      <c r="L276">
        <f t="shared" si="28"/>
        <v>5.2076993081734335E-3</v>
      </c>
      <c r="M276">
        <f t="shared" si="29"/>
        <v>7.2129354537845483E-3</v>
      </c>
    </row>
    <row r="277" spans="1:13" x14ac:dyDescent="0.2">
      <c r="A277" s="6">
        <v>45574</v>
      </c>
      <c r="B277" s="7">
        <v>132.84</v>
      </c>
      <c r="C277" s="7">
        <v>164.24</v>
      </c>
      <c r="D277" s="7">
        <v>588.57000000000005</v>
      </c>
      <c r="E277" s="7">
        <v>182.72</v>
      </c>
      <c r="F277" s="7">
        <v>79.510000000000005</v>
      </c>
      <c r="G277" s="7">
        <v>403.35</v>
      </c>
      <c r="H277">
        <f t="shared" si="24"/>
        <v>1.8083187567836808E-3</v>
      </c>
      <c r="I277">
        <f t="shared" si="25"/>
        <v>-2.9789972482127309E-3</v>
      </c>
      <c r="J277">
        <f t="shared" si="26"/>
        <v>7.0588528396248271E-3</v>
      </c>
      <c r="K277">
        <f t="shared" si="27"/>
        <v>-1.3319395582079084E-2</v>
      </c>
      <c r="L277">
        <f t="shared" si="28"/>
        <v>-1.6836464299232634E-2</v>
      </c>
      <c r="M277">
        <f t="shared" si="29"/>
        <v>-7.2625189524062762E-3</v>
      </c>
    </row>
    <row r="278" spans="1:13" x14ac:dyDescent="0.2">
      <c r="A278" s="6">
        <v>45573</v>
      </c>
      <c r="B278" s="7">
        <v>127.68</v>
      </c>
      <c r="C278" s="7">
        <v>162.52000000000001</v>
      </c>
      <c r="D278" s="7">
        <v>588.1</v>
      </c>
      <c r="E278" s="7">
        <v>180.8</v>
      </c>
      <c r="F278" s="7">
        <v>79.33</v>
      </c>
      <c r="G278" s="7">
        <v>403.19</v>
      </c>
      <c r="H278">
        <f t="shared" si="24"/>
        <v>-3.9618262807047215E-2</v>
      </c>
      <c r="I278">
        <f t="shared" si="25"/>
        <v>-1.0527701591152112E-2</v>
      </c>
      <c r="J278">
        <f t="shared" si="26"/>
        <v>-7.9886463493691721E-4</v>
      </c>
      <c r="K278">
        <f t="shared" si="27"/>
        <v>-1.0563478509569259E-2</v>
      </c>
      <c r="L278">
        <f t="shared" si="28"/>
        <v>-2.2664325994806557E-3</v>
      </c>
      <c r="M278">
        <f t="shared" si="29"/>
        <v>-3.9675652069059671E-4</v>
      </c>
    </row>
    <row r="279" spans="1:13" x14ac:dyDescent="0.2">
      <c r="A279" s="6">
        <v>45572</v>
      </c>
      <c r="B279" s="7">
        <v>124.88</v>
      </c>
      <c r="C279" s="7">
        <v>161.37</v>
      </c>
      <c r="D279" s="7">
        <v>582</v>
      </c>
      <c r="E279" s="7">
        <v>186.51</v>
      </c>
      <c r="F279" s="7">
        <v>78.84</v>
      </c>
      <c r="G279" s="7">
        <v>399.78</v>
      </c>
      <c r="H279">
        <f t="shared" si="24"/>
        <v>-2.2173857494322081E-2</v>
      </c>
      <c r="I279">
        <f t="shared" si="25"/>
        <v>-7.1012061662651671E-3</v>
      </c>
      <c r="J279">
        <f t="shared" si="26"/>
        <v>-1.042655373447251E-2</v>
      </c>
      <c r="K279">
        <f t="shared" si="27"/>
        <v>3.1093408991279589E-2</v>
      </c>
      <c r="L279">
        <f t="shared" si="28"/>
        <v>-6.1958850293920564E-3</v>
      </c>
      <c r="M279">
        <f t="shared" si="29"/>
        <v>-8.4935190597921293E-3</v>
      </c>
    </row>
    <row r="280" spans="1:13" x14ac:dyDescent="0.2">
      <c r="A280" s="6">
        <v>45569</v>
      </c>
      <c r="B280" s="7">
        <v>122.81</v>
      </c>
      <c r="C280" s="7">
        <v>161.15</v>
      </c>
      <c r="D280" s="7">
        <v>588.66</v>
      </c>
      <c r="E280" s="7">
        <v>181.96</v>
      </c>
      <c r="F280" s="7">
        <v>79.62</v>
      </c>
      <c r="G280" s="7">
        <v>397.89</v>
      </c>
      <c r="H280">
        <f t="shared" si="24"/>
        <v>-1.671483058488387E-2</v>
      </c>
      <c r="I280">
        <f t="shared" si="25"/>
        <v>-1.3642566918140779E-3</v>
      </c>
      <c r="J280">
        <f t="shared" si="26"/>
        <v>1.1378319671916493E-2</v>
      </c>
      <c r="K280">
        <f t="shared" si="27"/>
        <v>-2.4697974247552403E-2</v>
      </c>
      <c r="L280">
        <f t="shared" si="28"/>
        <v>9.8448352876516054E-3</v>
      </c>
      <c r="M280">
        <f t="shared" si="29"/>
        <v>-4.738810628129482E-3</v>
      </c>
    </row>
    <row r="281" spans="1:13" x14ac:dyDescent="0.2">
      <c r="A281" s="6">
        <v>45568</v>
      </c>
      <c r="B281" s="7">
        <v>118.81</v>
      </c>
      <c r="C281" s="7">
        <v>163.66</v>
      </c>
      <c r="D281" s="7">
        <v>591.03</v>
      </c>
      <c r="E281" s="7">
        <v>184.76</v>
      </c>
      <c r="F281" s="7">
        <v>78.94</v>
      </c>
      <c r="G281" s="7">
        <v>403.82</v>
      </c>
      <c r="H281">
        <f t="shared" si="24"/>
        <v>-3.3112867152096756E-2</v>
      </c>
      <c r="I281">
        <f t="shared" si="25"/>
        <v>1.5455496837788648E-2</v>
      </c>
      <c r="J281">
        <f t="shared" si="26"/>
        <v>4.0180101357461312E-3</v>
      </c>
      <c r="K281">
        <f t="shared" si="27"/>
        <v>1.5270802860601134E-2</v>
      </c>
      <c r="L281">
        <f t="shared" si="28"/>
        <v>-8.5772473374701903E-3</v>
      </c>
      <c r="M281">
        <f t="shared" si="29"/>
        <v>1.4793648947856942E-2</v>
      </c>
    </row>
    <row r="282" spans="1:13" x14ac:dyDescent="0.2">
      <c r="A282" s="6">
        <v>45567</v>
      </c>
      <c r="B282" s="7">
        <v>116.96</v>
      </c>
      <c r="C282" s="7">
        <v>162.26</v>
      </c>
      <c r="D282" s="7">
        <v>582.95000000000005</v>
      </c>
      <c r="E282" s="7">
        <v>185.13</v>
      </c>
      <c r="F282" s="7">
        <v>78.34</v>
      </c>
      <c r="G282" s="7">
        <v>401.99</v>
      </c>
      <c r="H282">
        <f t="shared" si="24"/>
        <v>-1.5693582468727679E-2</v>
      </c>
      <c r="I282">
        <f t="shared" si="25"/>
        <v>-8.5911181323167878E-3</v>
      </c>
      <c r="J282">
        <f t="shared" si="26"/>
        <v>-1.376535815980017E-2</v>
      </c>
      <c r="K282">
        <f t="shared" si="27"/>
        <v>2.0005954386804825E-3</v>
      </c>
      <c r="L282">
        <f t="shared" si="28"/>
        <v>-7.6297419970157866E-3</v>
      </c>
      <c r="M282">
        <f t="shared" si="29"/>
        <v>-4.5420214345008973E-3</v>
      </c>
    </row>
    <row r="283" spans="1:13" x14ac:dyDescent="0.2">
      <c r="A283" s="6">
        <v>45566</v>
      </c>
      <c r="B283" s="7">
        <v>121.4</v>
      </c>
      <c r="C283" s="7">
        <v>166.33</v>
      </c>
      <c r="D283" s="7">
        <v>594.07000000000005</v>
      </c>
      <c r="E283" s="7">
        <v>186.33</v>
      </c>
      <c r="F283" s="7">
        <v>80.16</v>
      </c>
      <c r="G283" s="7">
        <v>396.05</v>
      </c>
      <c r="H283">
        <f t="shared" si="24"/>
        <v>3.7258882623929721E-2</v>
      </c>
      <c r="I283">
        <f t="shared" si="25"/>
        <v>2.4773779835524791E-2</v>
      </c>
      <c r="J283">
        <f t="shared" si="26"/>
        <v>1.8895738157999293E-2</v>
      </c>
      <c r="K283">
        <f t="shared" si="27"/>
        <v>6.4610142382361575E-3</v>
      </c>
      <c r="L283">
        <f t="shared" si="28"/>
        <v>2.2966309098869275E-2</v>
      </c>
      <c r="M283">
        <f t="shared" si="29"/>
        <v>-1.4886746777438373E-2</v>
      </c>
    </row>
    <row r="284" spans="1:13" x14ac:dyDescent="0.2">
      <c r="A284" s="6">
        <v>45565</v>
      </c>
      <c r="B284" s="7">
        <v>121.36</v>
      </c>
      <c r="C284" s="7">
        <v>165.13</v>
      </c>
      <c r="D284" s="7">
        <v>580.94000000000005</v>
      </c>
      <c r="E284" s="7">
        <v>187.97</v>
      </c>
      <c r="F284" s="7">
        <v>79.650000000000006</v>
      </c>
      <c r="G284" s="7">
        <v>396.34</v>
      </c>
      <c r="H284">
        <f t="shared" si="24"/>
        <v>-3.2954358512109569E-4</v>
      </c>
      <c r="I284">
        <f t="shared" si="25"/>
        <v>-7.2407243275466682E-3</v>
      </c>
      <c r="J284">
        <f t="shared" si="26"/>
        <v>-2.2349676241877229E-2</v>
      </c>
      <c r="K284">
        <f t="shared" si="27"/>
        <v>8.7630803891827619E-3</v>
      </c>
      <c r="L284">
        <f t="shared" si="28"/>
        <v>-6.3826009804970685E-3</v>
      </c>
      <c r="M284">
        <f t="shared" si="29"/>
        <v>7.3196282877802294E-4</v>
      </c>
    </row>
    <row r="285" spans="1:13" x14ac:dyDescent="0.2">
      <c r="A285" s="6">
        <v>45562</v>
      </c>
      <c r="B285" s="7">
        <v>124</v>
      </c>
      <c r="C285" s="7">
        <v>165.13</v>
      </c>
      <c r="D285" s="7">
        <v>571.01</v>
      </c>
      <c r="E285" s="7">
        <v>191.16</v>
      </c>
      <c r="F285" s="7">
        <v>79.650000000000006</v>
      </c>
      <c r="G285" s="7">
        <v>399.46</v>
      </c>
      <c r="H285">
        <f t="shared" si="24"/>
        <v>2.1520230564760153E-2</v>
      </c>
      <c r="I285">
        <f t="shared" si="25"/>
        <v>0</v>
      </c>
      <c r="J285">
        <f t="shared" si="26"/>
        <v>-1.7240758657914301E-2</v>
      </c>
      <c r="K285">
        <f t="shared" si="27"/>
        <v>1.6828398081453425E-2</v>
      </c>
      <c r="L285">
        <f t="shared" si="28"/>
        <v>0</v>
      </c>
      <c r="M285">
        <f t="shared" si="29"/>
        <v>7.8412062979589126E-3</v>
      </c>
    </row>
    <row r="286" spans="1:13" x14ac:dyDescent="0.2">
      <c r="A286" s="6">
        <v>45561</v>
      </c>
      <c r="B286" s="7">
        <v>123.47</v>
      </c>
      <c r="C286" s="7">
        <v>166.26</v>
      </c>
      <c r="D286" s="7">
        <v>574.66</v>
      </c>
      <c r="E286" s="7">
        <v>192.53</v>
      </c>
      <c r="F286" s="7">
        <v>80.489999999999995</v>
      </c>
      <c r="G286" s="7">
        <v>399.15</v>
      </c>
      <c r="H286">
        <f t="shared" si="24"/>
        <v>-4.2833540253845778E-3</v>
      </c>
      <c r="I286">
        <f t="shared" si="25"/>
        <v>6.8197856280450787E-3</v>
      </c>
      <c r="J286">
        <f t="shared" si="26"/>
        <v>6.3718389226549788E-3</v>
      </c>
      <c r="K286">
        <f t="shared" si="27"/>
        <v>7.1412120312866288E-3</v>
      </c>
      <c r="L286">
        <f t="shared" si="28"/>
        <v>1.0490916749584864E-2</v>
      </c>
      <c r="M286">
        <f t="shared" si="29"/>
        <v>-7.7634894521787722E-4</v>
      </c>
    </row>
    <row r="287" spans="1:13" x14ac:dyDescent="0.2">
      <c r="A287" s="6">
        <v>45560</v>
      </c>
      <c r="B287" s="7">
        <v>120.83</v>
      </c>
      <c r="C287" s="7">
        <v>165.12</v>
      </c>
      <c r="D287" s="7">
        <v>570.65</v>
      </c>
      <c r="E287" s="7">
        <v>193.96</v>
      </c>
      <c r="F287" s="7">
        <v>79.97</v>
      </c>
      <c r="G287" s="7">
        <v>397.01</v>
      </c>
      <c r="H287">
        <f t="shared" si="24"/>
        <v>-2.1613612540435423E-2</v>
      </c>
      <c r="I287">
        <f t="shared" si="25"/>
        <v>-6.8803458097440092E-3</v>
      </c>
      <c r="J287">
        <f t="shared" si="26"/>
        <v>-7.0024995605541844E-3</v>
      </c>
      <c r="K287">
        <f t="shared" si="27"/>
        <v>7.399966495907513E-3</v>
      </c>
      <c r="L287">
        <f t="shared" si="28"/>
        <v>-6.4813887618438764E-3</v>
      </c>
      <c r="M287">
        <f t="shared" si="29"/>
        <v>-5.3758168049762587E-3</v>
      </c>
    </row>
    <row r="288" spans="1:13" x14ac:dyDescent="0.2">
      <c r="A288" s="6">
        <v>45559</v>
      </c>
      <c r="B288" s="7">
        <v>116.22</v>
      </c>
      <c r="C288" s="7">
        <v>163.22999999999999</v>
      </c>
      <c r="D288" s="7">
        <v>565.58000000000004</v>
      </c>
      <c r="E288" s="7">
        <v>193.88</v>
      </c>
      <c r="F288" s="7">
        <v>79.010000000000005</v>
      </c>
      <c r="G288" s="7">
        <v>393.27</v>
      </c>
      <c r="H288">
        <f t="shared" si="24"/>
        <v>-3.8899652392257254E-2</v>
      </c>
      <c r="I288">
        <f t="shared" si="25"/>
        <v>-1.1512233127254311E-2</v>
      </c>
      <c r="J288">
        <f t="shared" si="26"/>
        <v>-8.9243087213744417E-3</v>
      </c>
      <c r="K288">
        <f t="shared" si="27"/>
        <v>-4.1254125997634042E-4</v>
      </c>
      <c r="L288">
        <f t="shared" si="28"/>
        <v>-1.2077137609156522E-2</v>
      </c>
      <c r="M288">
        <f t="shared" si="29"/>
        <v>-9.4650704090040311E-3</v>
      </c>
    </row>
    <row r="289" spans="1:13" x14ac:dyDescent="0.2">
      <c r="A289" s="6">
        <v>45558</v>
      </c>
      <c r="B289" s="7">
        <v>115.96</v>
      </c>
      <c r="C289" s="7">
        <v>162.02000000000001</v>
      </c>
      <c r="D289" s="7">
        <v>566.05999999999995</v>
      </c>
      <c r="E289" s="7">
        <v>191.6</v>
      </c>
      <c r="F289" s="7">
        <v>79.150000000000006</v>
      </c>
      <c r="G289" s="7">
        <v>387.77</v>
      </c>
      <c r="H289">
        <f t="shared" si="24"/>
        <v>-2.2396425935047983E-3</v>
      </c>
      <c r="I289">
        <f t="shared" si="25"/>
        <v>-7.4404647635983364E-3</v>
      </c>
      <c r="J289">
        <f t="shared" si="26"/>
        <v>8.4832637373413559E-4</v>
      </c>
      <c r="K289">
        <f t="shared" si="27"/>
        <v>-1.1829545440415101E-2</v>
      </c>
      <c r="L289">
        <f t="shared" si="28"/>
        <v>1.7703595923793305E-3</v>
      </c>
      <c r="M289">
        <f t="shared" si="29"/>
        <v>-1.4084018525314799E-2</v>
      </c>
    </row>
    <row r="290" spans="1:13" x14ac:dyDescent="0.2">
      <c r="A290" s="6">
        <v>45555</v>
      </c>
      <c r="B290" s="7">
        <v>117.83</v>
      </c>
      <c r="C290" s="7">
        <v>160.78</v>
      </c>
      <c r="D290" s="7">
        <v>566.53</v>
      </c>
      <c r="E290" s="7">
        <v>189.87</v>
      </c>
      <c r="F290" s="7">
        <v>80.61</v>
      </c>
      <c r="G290" s="7">
        <v>385.02</v>
      </c>
      <c r="H290">
        <f t="shared" si="24"/>
        <v>1.599760367179464E-2</v>
      </c>
      <c r="I290">
        <f t="shared" si="25"/>
        <v>-7.6828135025304219E-3</v>
      </c>
      <c r="J290">
        <f t="shared" si="26"/>
        <v>8.2995616591906285E-4</v>
      </c>
      <c r="K290">
        <f t="shared" si="27"/>
        <v>-9.0702380814364179E-3</v>
      </c>
      <c r="L290">
        <f t="shared" si="28"/>
        <v>1.8277924968488311E-2</v>
      </c>
      <c r="M290">
        <f t="shared" si="29"/>
        <v>-7.1170993620338378E-3</v>
      </c>
    </row>
    <row r="291" spans="1:13" x14ac:dyDescent="0.2">
      <c r="A291" s="6">
        <v>45554</v>
      </c>
      <c r="B291" s="7">
        <v>113.33</v>
      </c>
      <c r="C291" s="7">
        <v>161.58000000000001</v>
      </c>
      <c r="D291" s="7">
        <v>561.55999999999995</v>
      </c>
      <c r="E291" s="7">
        <v>186.43</v>
      </c>
      <c r="F291" s="7">
        <v>79.89</v>
      </c>
      <c r="G291" s="7">
        <v>385.25</v>
      </c>
      <c r="H291">
        <f t="shared" si="24"/>
        <v>-3.8938990980392239E-2</v>
      </c>
      <c r="I291">
        <f t="shared" si="25"/>
        <v>4.9634051517477348E-3</v>
      </c>
      <c r="J291">
        <f t="shared" si="26"/>
        <v>-8.8114107141372341E-3</v>
      </c>
      <c r="K291">
        <f t="shared" si="27"/>
        <v>-1.8283793947953549E-2</v>
      </c>
      <c r="L291">
        <f t="shared" si="28"/>
        <v>-8.9720228015589577E-3</v>
      </c>
      <c r="M291">
        <f t="shared" si="29"/>
        <v>5.9719320974620346E-4</v>
      </c>
    </row>
    <row r="292" spans="1:13" x14ac:dyDescent="0.2">
      <c r="A292" s="6">
        <v>45553</v>
      </c>
      <c r="B292" s="7">
        <v>115.55</v>
      </c>
      <c r="C292" s="7">
        <v>161.13999999999999</v>
      </c>
      <c r="D292" s="7">
        <v>562.64</v>
      </c>
      <c r="E292" s="7">
        <v>186.88</v>
      </c>
      <c r="F292" s="7">
        <v>79.55</v>
      </c>
      <c r="G292" s="7">
        <v>388.87</v>
      </c>
      <c r="H292">
        <f t="shared" si="24"/>
        <v>1.9399419975532611E-2</v>
      </c>
      <c r="I292">
        <f t="shared" si="25"/>
        <v>-2.7268237025128103E-3</v>
      </c>
      <c r="J292">
        <f t="shared" si="26"/>
        <v>1.9213668960124436E-3</v>
      </c>
      <c r="K292">
        <f t="shared" si="27"/>
        <v>2.4108661324920883E-3</v>
      </c>
      <c r="L292">
        <f t="shared" si="28"/>
        <v>-4.2649337101546671E-3</v>
      </c>
      <c r="M292">
        <f t="shared" si="29"/>
        <v>9.3526233328589739E-3</v>
      </c>
    </row>
    <row r="293" spans="1:13" x14ac:dyDescent="0.2">
      <c r="A293" s="6">
        <v>45552</v>
      </c>
      <c r="B293" s="7">
        <v>116.74</v>
      </c>
      <c r="C293" s="7">
        <v>162.87</v>
      </c>
      <c r="D293" s="7">
        <v>559.59</v>
      </c>
      <c r="E293" s="7">
        <v>184.89</v>
      </c>
      <c r="F293" s="7">
        <v>78.3</v>
      </c>
      <c r="G293" s="7">
        <v>380.42</v>
      </c>
      <c r="H293">
        <f t="shared" si="24"/>
        <v>1.0245903055255233E-2</v>
      </c>
      <c r="I293">
        <f t="shared" si="25"/>
        <v>1.067878423641961E-2</v>
      </c>
      <c r="J293">
        <f t="shared" si="26"/>
        <v>-5.4356192751818548E-3</v>
      </c>
      <c r="K293">
        <f t="shared" si="27"/>
        <v>-1.0705645997600799E-2</v>
      </c>
      <c r="L293">
        <f t="shared" si="28"/>
        <v>-1.5838151787038467E-2</v>
      </c>
      <c r="M293">
        <f t="shared" si="29"/>
        <v>-2.1969192008389267E-2</v>
      </c>
    </row>
    <row r="294" spans="1:13" x14ac:dyDescent="0.2">
      <c r="A294" s="6">
        <v>45551</v>
      </c>
      <c r="B294" s="7">
        <v>119.06</v>
      </c>
      <c r="C294" s="7">
        <v>161.43</v>
      </c>
      <c r="D294" s="7">
        <v>557.35</v>
      </c>
      <c r="E294" s="7">
        <v>186.49</v>
      </c>
      <c r="F294" s="7">
        <v>77.290000000000006</v>
      </c>
      <c r="G294" s="7">
        <v>378.38</v>
      </c>
      <c r="H294">
        <f t="shared" si="24"/>
        <v>1.9678327949599197E-2</v>
      </c>
      <c r="I294">
        <f t="shared" si="25"/>
        <v>-8.8807244160313947E-3</v>
      </c>
      <c r="J294">
        <f t="shared" si="26"/>
        <v>-4.0109638889484663E-3</v>
      </c>
      <c r="K294">
        <f t="shared" si="27"/>
        <v>8.6165647010937093E-3</v>
      </c>
      <c r="L294">
        <f t="shared" si="28"/>
        <v>-1.2983021877977683E-2</v>
      </c>
      <c r="M294">
        <f t="shared" si="29"/>
        <v>-5.376923866421697E-3</v>
      </c>
    </row>
    <row r="295" spans="1:13" x14ac:dyDescent="0.2">
      <c r="A295" s="6">
        <v>45547</v>
      </c>
      <c r="B295" s="7">
        <v>119.1</v>
      </c>
      <c r="C295" s="7">
        <v>159.11000000000001</v>
      </c>
      <c r="D295" s="7">
        <v>536.26</v>
      </c>
      <c r="E295" s="7">
        <v>187</v>
      </c>
      <c r="F295" s="7">
        <v>78.27</v>
      </c>
      <c r="G295" s="7">
        <v>378.85</v>
      </c>
      <c r="H295">
        <f t="shared" si="24"/>
        <v>3.3590863601031223E-4</v>
      </c>
      <c r="I295">
        <f t="shared" si="25"/>
        <v>-1.4475825249672744E-2</v>
      </c>
      <c r="J295">
        <f t="shared" si="26"/>
        <v>-3.8574290748629898E-2</v>
      </c>
      <c r="K295">
        <f t="shared" si="27"/>
        <v>2.7309985112315125E-3</v>
      </c>
      <c r="L295">
        <f t="shared" si="28"/>
        <v>1.2599806697967042E-2</v>
      </c>
      <c r="M295">
        <f t="shared" si="29"/>
        <v>1.2413667191092136E-3</v>
      </c>
    </row>
    <row r="296" spans="1:13" x14ac:dyDescent="0.2">
      <c r="A296" s="6">
        <v>45547</v>
      </c>
      <c r="B296" s="7">
        <v>116.86</v>
      </c>
      <c r="C296" s="7">
        <v>158.62</v>
      </c>
      <c r="D296" s="7">
        <v>534.64</v>
      </c>
      <c r="E296" s="7">
        <v>184.52</v>
      </c>
      <c r="F296" s="7">
        <v>77.84</v>
      </c>
      <c r="G296" s="7">
        <v>372.71</v>
      </c>
      <c r="H296">
        <f t="shared" si="24"/>
        <v>-1.8986839234963377E-2</v>
      </c>
      <c r="I296">
        <f t="shared" si="25"/>
        <v>-3.0843822645916846E-3</v>
      </c>
      <c r="J296">
        <f t="shared" si="26"/>
        <v>-3.0254948841879521E-3</v>
      </c>
      <c r="K296">
        <f t="shared" si="27"/>
        <v>-1.3350758164966777E-2</v>
      </c>
      <c r="L296">
        <f t="shared" si="28"/>
        <v>-5.5089499389970459E-3</v>
      </c>
      <c r="M296">
        <f t="shared" si="29"/>
        <v>-1.6339711020567246E-2</v>
      </c>
    </row>
    <row r="297" spans="1:13" x14ac:dyDescent="0.2">
      <c r="A297" s="6">
        <v>45545</v>
      </c>
      <c r="B297" s="7">
        <v>106.42</v>
      </c>
      <c r="C297" s="7">
        <v>156.77000000000001</v>
      </c>
      <c r="D297" s="7">
        <v>531.61</v>
      </c>
      <c r="E297" s="7">
        <v>175.4</v>
      </c>
      <c r="F297" s="7">
        <v>79.819999999999993</v>
      </c>
      <c r="G297" s="7">
        <v>370.77</v>
      </c>
      <c r="H297">
        <f t="shared" si="24"/>
        <v>-9.3583107958067721E-2</v>
      </c>
      <c r="I297">
        <f t="shared" si="25"/>
        <v>-1.1731641574733847E-2</v>
      </c>
      <c r="J297">
        <f t="shared" si="26"/>
        <v>-5.683485404458931E-3</v>
      </c>
      <c r="K297">
        <f t="shared" si="27"/>
        <v>-5.06887787515371E-2</v>
      </c>
      <c r="L297">
        <f t="shared" si="28"/>
        <v>2.5118661742838177E-2</v>
      </c>
      <c r="M297">
        <f t="shared" si="29"/>
        <v>-5.2187130870613727E-3</v>
      </c>
    </row>
    <row r="298" spans="1:13" x14ac:dyDescent="0.2">
      <c r="A298" s="6">
        <v>45544</v>
      </c>
      <c r="B298" s="7">
        <v>102.79</v>
      </c>
      <c r="C298" s="7">
        <v>154.01</v>
      </c>
      <c r="D298" s="7">
        <v>522.48</v>
      </c>
      <c r="E298" s="7">
        <v>171.39</v>
      </c>
      <c r="F298" s="7">
        <v>78.89</v>
      </c>
      <c r="G298" s="7">
        <v>368.8</v>
      </c>
      <c r="H298">
        <f t="shared" si="24"/>
        <v>-3.4705457143392626E-2</v>
      </c>
      <c r="I298">
        <f t="shared" si="25"/>
        <v>-1.7762227710065633E-2</v>
      </c>
      <c r="J298">
        <f t="shared" si="26"/>
        <v>-1.7323432203953985E-2</v>
      </c>
      <c r="K298">
        <f t="shared" si="27"/>
        <v>-2.3127418533601975E-2</v>
      </c>
      <c r="L298">
        <f t="shared" si="28"/>
        <v>-1.1719622513589503E-2</v>
      </c>
      <c r="M298">
        <f t="shared" si="29"/>
        <v>-5.3274325873149207E-3</v>
      </c>
    </row>
    <row r="299" spans="1:13" x14ac:dyDescent="0.2">
      <c r="A299" s="6">
        <v>45541</v>
      </c>
      <c r="B299" s="7">
        <v>107.16</v>
      </c>
      <c r="C299" s="7">
        <v>150.5</v>
      </c>
      <c r="D299" s="7">
        <v>523.45000000000005</v>
      </c>
      <c r="E299" s="7">
        <v>177.89</v>
      </c>
      <c r="F299" s="7">
        <v>78.08</v>
      </c>
      <c r="G299" s="7">
        <v>363.41</v>
      </c>
      <c r="H299">
        <f t="shared" si="24"/>
        <v>4.163497265157725E-2</v>
      </c>
      <c r="I299">
        <f t="shared" si="25"/>
        <v>-2.30544511814437E-2</v>
      </c>
      <c r="J299">
        <f t="shared" si="26"/>
        <v>1.8548091709622377E-3</v>
      </c>
      <c r="K299">
        <f t="shared" si="27"/>
        <v>3.7223720332697538E-2</v>
      </c>
      <c r="L299">
        <f t="shared" si="28"/>
        <v>-1.032053500216119E-2</v>
      </c>
      <c r="M299">
        <f t="shared" si="29"/>
        <v>-1.4722818212351749E-2</v>
      </c>
    </row>
    <row r="300" spans="1:13" x14ac:dyDescent="0.2">
      <c r="A300" s="6">
        <v>45540</v>
      </c>
      <c r="B300" s="7">
        <v>106.16</v>
      </c>
      <c r="C300" s="7">
        <v>148.01</v>
      </c>
      <c r="D300" s="7">
        <v>509.74</v>
      </c>
      <c r="E300" s="7">
        <v>173.33</v>
      </c>
      <c r="F300" s="7">
        <v>78.05</v>
      </c>
      <c r="G300" s="7">
        <v>359.58</v>
      </c>
      <c r="H300">
        <f t="shared" si="24"/>
        <v>-9.3756546524559146E-3</v>
      </c>
      <c r="I300">
        <f t="shared" si="25"/>
        <v>-1.6683245139833176E-2</v>
      </c>
      <c r="J300">
        <f t="shared" si="26"/>
        <v>-2.6540722962763285E-2</v>
      </c>
      <c r="K300">
        <f t="shared" si="27"/>
        <v>-2.5968089783959279E-2</v>
      </c>
      <c r="L300">
        <f t="shared" si="28"/>
        <v>-3.8429514339598545E-4</v>
      </c>
      <c r="M300">
        <f t="shared" si="29"/>
        <v>-1.0594989771938226E-2</v>
      </c>
    </row>
    <row r="301" spans="1:13" x14ac:dyDescent="0.2">
      <c r="A301" s="6">
        <v>45538</v>
      </c>
      <c r="B301" s="7">
        <v>119.32</v>
      </c>
      <c r="C301" s="7">
        <v>148.06</v>
      </c>
      <c r="D301" s="7">
        <v>502.73</v>
      </c>
      <c r="E301" s="7">
        <v>178.5</v>
      </c>
      <c r="F301" s="7">
        <v>75.900000000000006</v>
      </c>
      <c r="G301" s="7">
        <v>354.76</v>
      </c>
      <c r="H301">
        <f t="shared" si="24"/>
        <v>0.11686156962259561</v>
      </c>
      <c r="I301">
        <f t="shared" si="25"/>
        <v>3.3775796585507712E-4</v>
      </c>
      <c r="J301">
        <f t="shared" si="26"/>
        <v>-1.3847545144513716E-2</v>
      </c>
      <c r="K301">
        <f t="shared" si="27"/>
        <v>2.9391309266474701E-2</v>
      </c>
      <c r="L301">
        <f t="shared" si="28"/>
        <v>-2.7932962559856715E-2</v>
      </c>
      <c r="M301">
        <f t="shared" si="29"/>
        <v>-1.3495179189897231E-2</v>
      </c>
    </row>
    <row r="302" spans="1:13" x14ac:dyDescent="0.2">
      <c r="A302" s="6">
        <v>45534</v>
      </c>
      <c r="B302" s="7">
        <v>117.54</v>
      </c>
      <c r="C302" s="7">
        <v>150.06</v>
      </c>
      <c r="D302" s="7">
        <v>498.23</v>
      </c>
      <c r="E302" s="7">
        <v>172.12</v>
      </c>
      <c r="F302" s="7">
        <v>76.22</v>
      </c>
      <c r="G302" s="7">
        <v>349.45</v>
      </c>
      <c r="H302">
        <f t="shared" si="24"/>
        <v>-1.5030258462043273E-2</v>
      </c>
      <c r="I302">
        <f t="shared" si="25"/>
        <v>1.3417617102630468E-2</v>
      </c>
      <c r="J302">
        <f t="shared" si="26"/>
        <v>-8.991428862555037E-3</v>
      </c>
      <c r="K302">
        <f t="shared" si="27"/>
        <v>-3.6396693249294884E-2</v>
      </c>
      <c r="L302">
        <f t="shared" si="28"/>
        <v>4.2072110441298168E-3</v>
      </c>
      <c r="M302">
        <f t="shared" si="29"/>
        <v>-1.5081014585113623E-2</v>
      </c>
    </row>
    <row r="303" spans="1:13" x14ac:dyDescent="0.2">
      <c r="A303" s="6">
        <v>45533</v>
      </c>
      <c r="B303" s="7">
        <v>125.56</v>
      </c>
      <c r="C303" s="7">
        <v>156.34</v>
      </c>
      <c r="D303" s="7">
        <v>514.75</v>
      </c>
      <c r="E303" s="7">
        <v>170.8</v>
      </c>
      <c r="F303" s="7">
        <v>76.489999999999995</v>
      </c>
      <c r="G303" s="7">
        <v>351.2</v>
      </c>
      <c r="H303">
        <f t="shared" si="24"/>
        <v>6.6005030789248464E-2</v>
      </c>
      <c r="I303">
        <f t="shared" si="25"/>
        <v>4.0997908674601603E-2</v>
      </c>
      <c r="J303">
        <f t="shared" si="26"/>
        <v>3.2619528112366916E-2</v>
      </c>
      <c r="K303">
        <f t="shared" si="27"/>
        <v>-7.6986266159294117E-3</v>
      </c>
      <c r="L303">
        <f t="shared" si="28"/>
        <v>3.5361178880604516E-3</v>
      </c>
      <c r="M303">
        <f t="shared" si="29"/>
        <v>4.9953718378236006E-3</v>
      </c>
    </row>
    <row r="304" spans="1:13" x14ac:dyDescent="0.2">
      <c r="A304" s="6">
        <v>45532</v>
      </c>
      <c r="B304" s="7">
        <v>128.25</v>
      </c>
      <c r="C304" s="7">
        <v>155.56</v>
      </c>
      <c r="D304" s="7">
        <v>510.65</v>
      </c>
      <c r="E304" s="7">
        <v>173.12</v>
      </c>
      <c r="F304" s="7">
        <v>76.42</v>
      </c>
      <c r="G304" s="7">
        <v>353.94</v>
      </c>
      <c r="H304">
        <f t="shared" si="24"/>
        <v>2.1197752077126174E-2</v>
      </c>
      <c r="I304">
        <f t="shared" si="25"/>
        <v>-5.0016135046378873E-3</v>
      </c>
      <c r="J304">
        <f t="shared" si="26"/>
        <v>-7.9969218837909386E-3</v>
      </c>
      <c r="K304">
        <f t="shared" si="27"/>
        <v>1.3491714303647139E-2</v>
      </c>
      <c r="L304">
        <f t="shared" si="28"/>
        <v>-9.1557131502065941E-4</v>
      </c>
      <c r="M304">
        <f t="shared" si="29"/>
        <v>7.7715454820772786E-3</v>
      </c>
    </row>
    <row r="305" spans="1:13" x14ac:dyDescent="0.2">
      <c r="A305" s="6">
        <v>45531</v>
      </c>
      <c r="B305" s="7">
        <v>126.41</v>
      </c>
      <c r="C305" s="7">
        <v>156.46</v>
      </c>
      <c r="D305" s="7">
        <v>509.67</v>
      </c>
      <c r="E305" s="7">
        <v>175.5</v>
      </c>
      <c r="F305" s="7">
        <v>76.48</v>
      </c>
      <c r="G305" s="7">
        <v>354</v>
      </c>
      <c r="H305">
        <f t="shared" si="24"/>
        <v>-1.4450891543412689E-2</v>
      </c>
      <c r="I305">
        <f t="shared" si="25"/>
        <v>5.7688769693881254E-3</v>
      </c>
      <c r="J305">
        <f t="shared" si="26"/>
        <v>-1.9209665621748215E-3</v>
      </c>
      <c r="K305">
        <f t="shared" si="27"/>
        <v>1.3654047247803822E-2</v>
      </c>
      <c r="L305">
        <f t="shared" si="28"/>
        <v>7.8482672439204372E-4</v>
      </c>
      <c r="M305">
        <f t="shared" si="29"/>
        <v>1.6950589073556208E-4</v>
      </c>
    </row>
    <row r="306" spans="1:13" x14ac:dyDescent="0.2">
      <c r="A306" s="6">
        <v>45530</v>
      </c>
      <c r="B306" s="7">
        <v>129.31</v>
      </c>
      <c r="C306" s="7">
        <v>162.44999999999999</v>
      </c>
      <c r="D306" s="7">
        <v>519.17999999999995</v>
      </c>
      <c r="E306" s="7">
        <v>177.04</v>
      </c>
      <c r="F306" s="7">
        <v>75.680000000000007</v>
      </c>
      <c r="G306" s="7">
        <v>357.65</v>
      </c>
      <c r="H306">
        <f t="shared" si="24"/>
        <v>2.2682029800294046E-2</v>
      </c>
      <c r="I306">
        <f t="shared" si="25"/>
        <v>3.7569875858174617E-2</v>
      </c>
      <c r="J306">
        <f t="shared" si="26"/>
        <v>1.848718638476942E-2</v>
      </c>
      <c r="K306">
        <f t="shared" si="27"/>
        <v>8.7366528368737449E-3</v>
      </c>
      <c r="L306">
        <f t="shared" si="28"/>
        <v>-1.0515343999523008E-2</v>
      </c>
      <c r="M306">
        <f t="shared" si="29"/>
        <v>1.0257941420618229E-2</v>
      </c>
    </row>
    <row r="307" spans="1:13" x14ac:dyDescent="0.2">
      <c r="A307" s="6">
        <v>45526</v>
      </c>
      <c r="B307" s="7">
        <v>128.44999999999999</v>
      </c>
      <c r="C307" s="7">
        <v>161.91999999999999</v>
      </c>
      <c r="D307" s="7">
        <v>514.66999999999996</v>
      </c>
      <c r="E307" s="7">
        <v>180.11</v>
      </c>
      <c r="F307" s="7">
        <v>75.39</v>
      </c>
      <c r="G307" s="7">
        <v>356.26</v>
      </c>
      <c r="H307">
        <f t="shared" si="24"/>
        <v>-6.6728987518677356E-3</v>
      </c>
      <c r="I307">
        <f t="shared" si="25"/>
        <v>-3.2678760160086218E-3</v>
      </c>
      <c r="J307">
        <f t="shared" si="26"/>
        <v>-8.7247252671264885E-3</v>
      </c>
      <c r="K307">
        <f t="shared" si="27"/>
        <v>1.7192079606172108E-2</v>
      </c>
      <c r="L307">
        <f t="shared" si="28"/>
        <v>-3.8392845200123931E-3</v>
      </c>
      <c r="M307">
        <f t="shared" si="29"/>
        <v>-3.8940531900539233E-3</v>
      </c>
    </row>
    <row r="308" spans="1:13" x14ac:dyDescent="0.2">
      <c r="A308" s="6">
        <v>45525</v>
      </c>
      <c r="B308" s="7">
        <v>127.2</v>
      </c>
      <c r="C308" s="7">
        <v>163.74</v>
      </c>
      <c r="D308" s="7">
        <v>516.98</v>
      </c>
      <c r="E308" s="7">
        <v>178.88</v>
      </c>
      <c r="F308" s="7">
        <v>75.3</v>
      </c>
      <c r="G308" s="7">
        <v>359.54</v>
      </c>
      <c r="H308">
        <f t="shared" si="24"/>
        <v>-9.7790726498706865E-3</v>
      </c>
      <c r="I308">
        <f t="shared" si="25"/>
        <v>1.1177417849201468E-2</v>
      </c>
      <c r="J308">
        <f t="shared" si="26"/>
        <v>4.4782704610443393E-3</v>
      </c>
      <c r="K308">
        <f t="shared" si="27"/>
        <v>-6.8525853822318473E-3</v>
      </c>
      <c r="L308">
        <f t="shared" si="28"/>
        <v>-1.1945054177626216E-3</v>
      </c>
      <c r="M308">
        <f t="shared" si="29"/>
        <v>9.1646352539311859E-3</v>
      </c>
    </row>
    <row r="309" spans="1:13" x14ac:dyDescent="0.2">
      <c r="A309" s="6">
        <v>45524</v>
      </c>
      <c r="B309" s="7">
        <v>129.94</v>
      </c>
      <c r="C309" s="7">
        <v>165.21</v>
      </c>
      <c r="D309" s="7">
        <v>518.99</v>
      </c>
      <c r="E309" s="7">
        <v>178.22</v>
      </c>
      <c r="F309" s="7">
        <v>74.97</v>
      </c>
      <c r="G309" s="7">
        <v>360.01</v>
      </c>
      <c r="H309">
        <f t="shared" si="24"/>
        <v>2.1312154546363E-2</v>
      </c>
      <c r="I309">
        <f t="shared" si="25"/>
        <v>8.937587994197688E-3</v>
      </c>
      <c r="J309">
        <f t="shared" si="26"/>
        <v>3.8804261169054018E-3</v>
      </c>
      <c r="K309">
        <f t="shared" si="27"/>
        <v>-3.6964477821605619E-3</v>
      </c>
      <c r="L309">
        <f t="shared" si="28"/>
        <v>-4.3921012908771399E-3</v>
      </c>
      <c r="M309">
        <f t="shared" si="29"/>
        <v>1.3063722238679568E-3</v>
      </c>
    </row>
    <row r="310" spans="1:13" x14ac:dyDescent="0.2">
      <c r="A310" s="6">
        <v>45523</v>
      </c>
      <c r="B310" s="7">
        <v>124.53</v>
      </c>
      <c r="C310" s="7">
        <v>164.67</v>
      </c>
      <c r="D310" s="7">
        <v>525.84</v>
      </c>
      <c r="E310" s="7">
        <v>177.06</v>
      </c>
      <c r="F310" s="7">
        <v>74.849999999999994</v>
      </c>
      <c r="G310" s="7">
        <v>360.91</v>
      </c>
      <c r="H310">
        <f t="shared" si="24"/>
        <v>-4.2526154719327823E-2</v>
      </c>
      <c r="I310">
        <f t="shared" si="25"/>
        <v>-3.2739207125924269E-3</v>
      </c>
      <c r="J310">
        <f t="shared" si="26"/>
        <v>1.3112368797795084E-2</v>
      </c>
      <c r="K310">
        <f t="shared" si="27"/>
        <v>-6.5300840016707289E-3</v>
      </c>
      <c r="L310">
        <f t="shared" si="28"/>
        <v>-1.6019226493334158E-3</v>
      </c>
      <c r="M310">
        <f t="shared" si="29"/>
        <v>2.496810929242808E-3</v>
      </c>
    </row>
    <row r="311" spans="1:13" x14ac:dyDescent="0.2">
      <c r="A311" s="6">
        <v>45520</v>
      </c>
      <c r="B311" s="7">
        <v>122.81</v>
      </c>
      <c r="C311" s="7">
        <v>162.86000000000001</v>
      </c>
      <c r="D311" s="7">
        <v>529.76</v>
      </c>
      <c r="E311" s="7">
        <v>177.59</v>
      </c>
      <c r="F311" s="7">
        <v>74.510000000000005</v>
      </c>
      <c r="G311" s="7">
        <v>362.33</v>
      </c>
      <c r="H311">
        <f t="shared" si="24"/>
        <v>-1.3908205110764325E-2</v>
      </c>
      <c r="I311">
        <f t="shared" si="25"/>
        <v>-1.1052535190922167E-2</v>
      </c>
      <c r="J311">
        <f t="shared" si="26"/>
        <v>7.4270898436152814E-3</v>
      </c>
      <c r="K311">
        <f t="shared" si="27"/>
        <v>2.9888644836007479E-3</v>
      </c>
      <c r="L311">
        <f t="shared" si="28"/>
        <v>-4.5527663000010377E-3</v>
      </c>
      <c r="M311">
        <f t="shared" si="29"/>
        <v>3.926779007387346E-3</v>
      </c>
    </row>
    <row r="312" spans="1:13" x14ac:dyDescent="0.2">
      <c r="A312" s="6">
        <v>45519</v>
      </c>
      <c r="B312" s="7">
        <v>118.03</v>
      </c>
      <c r="C312" s="7">
        <v>164.9</v>
      </c>
      <c r="D312" s="7">
        <v>532.97</v>
      </c>
      <c r="E312" s="7">
        <v>170.1</v>
      </c>
      <c r="F312" s="7">
        <v>73.819999999999993</v>
      </c>
      <c r="G312" s="7">
        <v>352.46</v>
      </c>
      <c r="H312">
        <f t="shared" si="24"/>
        <v>-3.9699616181315067E-2</v>
      </c>
      <c r="I312">
        <f t="shared" si="25"/>
        <v>1.2448293526567863E-2</v>
      </c>
      <c r="J312">
        <f t="shared" si="26"/>
        <v>6.0410636046019303E-3</v>
      </c>
      <c r="K312">
        <f t="shared" si="27"/>
        <v>-4.3091023264687812E-2</v>
      </c>
      <c r="L312">
        <f t="shared" si="28"/>
        <v>-9.3036469637837755E-3</v>
      </c>
      <c r="M312">
        <f t="shared" si="29"/>
        <v>-2.7618258142544837E-2</v>
      </c>
    </row>
    <row r="313" spans="1:13" x14ac:dyDescent="0.2">
      <c r="A313" s="6">
        <v>45518</v>
      </c>
      <c r="B313" s="7">
        <v>116.09</v>
      </c>
      <c r="C313" s="7">
        <v>166.23</v>
      </c>
      <c r="D313" s="7">
        <v>524.58000000000004</v>
      </c>
      <c r="E313" s="7">
        <v>170.23</v>
      </c>
      <c r="F313" s="7">
        <v>73.010000000000005</v>
      </c>
      <c r="G313" s="7">
        <v>357.38</v>
      </c>
      <c r="H313">
        <f t="shared" si="24"/>
        <v>-1.6573077091033263E-2</v>
      </c>
      <c r="I313">
        <f t="shared" si="25"/>
        <v>8.0331419818147291E-3</v>
      </c>
      <c r="J313">
        <f t="shared" si="26"/>
        <v>-1.5867194982683394E-2</v>
      </c>
      <c r="K313">
        <f t="shared" si="27"/>
        <v>7.6396442466296094E-4</v>
      </c>
      <c r="L313">
        <f t="shared" si="28"/>
        <v>-1.1033279533857932E-2</v>
      </c>
      <c r="M313">
        <f t="shared" si="29"/>
        <v>1.386250081429184E-2</v>
      </c>
    </row>
    <row r="314" spans="1:13" x14ac:dyDescent="0.2">
      <c r="A314" s="6">
        <v>45516</v>
      </c>
      <c r="B314" s="7">
        <v>104.71</v>
      </c>
      <c r="C314" s="7">
        <v>162.03</v>
      </c>
      <c r="D314" s="7">
        <v>525.27</v>
      </c>
      <c r="E314" s="7">
        <v>166.94</v>
      </c>
      <c r="F314" s="7">
        <v>72.739999999999995</v>
      </c>
      <c r="G314" s="7">
        <v>350.26</v>
      </c>
      <c r="H314">
        <f t="shared" si="24"/>
        <v>-0.10317112805057384</v>
      </c>
      <c r="I314">
        <f t="shared" si="25"/>
        <v>-2.5590868274458483E-2</v>
      </c>
      <c r="J314">
        <f t="shared" si="26"/>
        <v>1.3144736854803756E-3</v>
      </c>
      <c r="K314">
        <f t="shared" si="27"/>
        <v>-1.9515997403888503E-2</v>
      </c>
      <c r="L314">
        <f t="shared" si="28"/>
        <v>-3.7049785091514951E-3</v>
      </c>
      <c r="M314">
        <f t="shared" si="29"/>
        <v>-2.0123905605996886E-2</v>
      </c>
    </row>
    <row r="315" spans="1:13" x14ac:dyDescent="0.2">
      <c r="A315" s="6">
        <v>45513</v>
      </c>
      <c r="B315" s="7">
        <v>104.93</v>
      </c>
      <c r="C315" s="7">
        <v>160.38</v>
      </c>
      <c r="D315" s="7">
        <v>535.14</v>
      </c>
      <c r="E315" s="7">
        <v>165.8</v>
      </c>
      <c r="F315" s="7">
        <v>72.27</v>
      </c>
      <c r="G315" s="7">
        <v>349.28</v>
      </c>
      <c r="H315">
        <f t="shared" si="24"/>
        <v>2.0988368704490806E-3</v>
      </c>
      <c r="I315">
        <f t="shared" si="25"/>
        <v>-1.0235503894026863E-2</v>
      </c>
      <c r="J315">
        <f t="shared" si="26"/>
        <v>1.8615978799835856E-2</v>
      </c>
      <c r="K315">
        <f t="shared" si="27"/>
        <v>-6.8522237213958729E-3</v>
      </c>
      <c r="L315">
        <f t="shared" si="28"/>
        <v>-6.4823342639532891E-3</v>
      </c>
      <c r="M315">
        <f t="shared" si="29"/>
        <v>-2.8018430428846477E-3</v>
      </c>
    </row>
    <row r="316" spans="1:13" x14ac:dyDescent="0.2">
      <c r="A316" s="6">
        <v>45512</v>
      </c>
      <c r="B316" s="7">
        <v>98.87</v>
      </c>
      <c r="C316" s="7">
        <v>159.44999999999999</v>
      </c>
      <c r="D316" s="7">
        <v>524.61</v>
      </c>
      <c r="E316" s="7">
        <v>162.77000000000001</v>
      </c>
      <c r="F316" s="7">
        <v>67.8</v>
      </c>
      <c r="G316" s="7">
        <v>347.36</v>
      </c>
      <c r="H316">
        <f t="shared" si="24"/>
        <v>-5.948760526077812E-2</v>
      </c>
      <c r="I316">
        <f t="shared" si="25"/>
        <v>-5.8156059228160369E-3</v>
      </c>
      <c r="J316">
        <f t="shared" si="26"/>
        <v>-1.9873265512493167E-2</v>
      </c>
      <c r="K316">
        <f t="shared" si="27"/>
        <v>-1.844408129778773E-2</v>
      </c>
      <c r="L316">
        <f t="shared" si="28"/>
        <v>-6.3846910348539745E-2</v>
      </c>
      <c r="M316">
        <f t="shared" si="29"/>
        <v>-5.5121866716519551E-3</v>
      </c>
    </row>
    <row r="317" spans="1:13" x14ac:dyDescent="0.2">
      <c r="A317" s="6">
        <v>45511</v>
      </c>
      <c r="B317" s="7">
        <v>104.21</v>
      </c>
      <c r="C317" s="7">
        <v>163.22</v>
      </c>
      <c r="D317" s="7">
        <v>526.38</v>
      </c>
      <c r="E317" s="7">
        <v>161.93</v>
      </c>
      <c r="F317" s="7">
        <v>67.28</v>
      </c>
      <c r="G317" s="7">
        <v>343.11</v>
      </c>
      <c r="H317">
        <f t="shared" si="24"/>
        <v>5.2602238095294358E-2</v>
      </c>
      <c r="I317">
        <f t="shared" si="25"/>
        <v>2.3368590585030245E-2</v>
      </c>
      <c r="J317">
        <f t="shared" si="26"/>
        <v>3.3682559746696758E-3</v>
      </c>
      <c r="K317">
        <f t="shared" si="27"/>
        <v>-5.1740183180274723E-3</v>
      </c>
      <c r="L317">
        <f t="shared" si="28"/>
        <v>-7.6991792816572006E-3</v>
      </c>
      <c r="M317">
        <f t="shared" si="29"/>
        <v>-1.2310610668746709E-2</v>
      </c>
    </row>
    <row r="318" spans="1:13" x14ac:dyDescent="0.2">
      <c r="A318" s="6">
        <v>45510</v>
      </c>
      <c r="B318" s="7">
        <v>100.41</v>
      </c>
      <c r="C318" s="7">
        <v>161.36000000000001</v>
      </c>
      <c r="D318" s="7">
        <v>513.84</v>
      </c>
      <c r="E318" s="7">
        <v>161.02000000000001</v>
      </c>
      <c r="F318" s="7">
        <v>67.84</v>
      </c>
      <c r="G318" s="7">
        <v>337.71</v>
      </c>
      <c r="H318">
        <f t="shared" si="24"/>
        <v>-3.7146290112991136E-2</v>
      </c>
      <c r="I318">
        <f t="shared" si="25"/>
        <v>-1.1461090395140334E-2</v>
      </c>
      <c r="J318">
        <f t="shared" si="26"/>
        <v>-2.411145241881036E-2</v>
      </c>
      <c r="K318">
        <f t="shared" si="27"/>
        <v>-5.6355622135447056E-3</v>
      </c>
      <c r="L318">
        <f t="shared" si="28"/>
        <v>8.2889758189550796E-3</v>
      </c>
      <c r="M318">
        <f t="shared" si="29"/>
        <v>-1.586355642641285E-2</v>
      </c>
    </row>
    <row r="319" spans="1:13" x14ac:dyDescent="0.2">
      <c r="A319" s="6">
        <v>45509</v>
      </c>
      <c r="B319" s="7">
        <v>107.22</v>
      </c>
      <c r="C319" s="7">
        <v>162.74</v>
      </c>
      <c r="D319" s="7">
        <v>515.66</v>
      </c>
      <c r="E319" s="7">
        <v>167.9</v>
      </c>
      <c r="F319" s="7">
        <v>67.099999999999994</v>
      </c>
      <c r="G319" s="7">
        <v>333.6</v>
      </c>
      <c r="H319">
        <f t="shared" si="24"/>
        <v>6.5620994508046704E-2</v>
      </c>
      <c r="I319">
        <f t="shared" si="25"/>
        <v>8.5159416225549147E-3</v>
      </c>
      <c r="J319">
        <f t="shared" si="26"/>
        <v>3.5357006236264488E-3</v>
      </c>
      <c r="K319">
        <f t="shared" si="27"/>
        <v>4.1839983211660402E-2</v>
      </c>
      <c r="L319">
        <f t="shared" si="28"/>
        <v>-1.0967947506011693E-2</v>
      </c>
      <c r="M319">
        <f t="shared" si="29"/>
        <v>-1.224486855023052E-2</v>
      </c>
    </row>
    <row r="320" spans="1:13" x14ac:dyDescent="0.2">
      <c r="A320" s="6">
        <v>45506</v>
      </c>
      <c r="B320" s="7">
        <v>109.16</v>
      </c>
      <c r="C320" s="7">
        <v>161.1</v>
      </c>
      <c r="D320" s="7">
        <v>507.55</v>
      </c>
      <c r="E320" s="7">
        <v>184.07</v>
      </c>
      <c r="F320" s="7">
        <v>66.819999999999993</v>
      </c>
      <c r="G320" s="7">
        <v>336.33</v>
      </c>
      <c r="H320">
        <f t="shared" si="24"/>
        <v>1.7931897440746074E-2</v>
      </c>
      <c r="I320">
        <f t="shared" si="25"/>
        <v>-1.0128545085582571E-2</v>
      </c>
      <c r="J320">
        <f t="shared" si="26"/>
        <v>-1.5852405342723423E-2</v>
      </c>
      <c r="K320">
        <f t="shared" si="27"/>
        <v>9.1947555961135574E-2</v>
      </c>
      <c r="L320">
        <f t="shared" si="28"/>
        <v>-4.1816070490256416E-3</v>
      </c>
      <c r="M320">
        <f t="shared" si="29"/>
        <v>8.1501503490200231E-3</v>
      </c>
    </row>
    <row r="321" spans="1:13" x14ac:dyDescent="0.2">
      <c r="A321" s="6">
        <v>45505</v>
      </c>
      <c r="B321" s="7">
        <v>116.97</v>
      </c>
      <c r="C321" s="7">
        <v>158.03</v>
      </c>
      <c r="D321" s="7">
        <v>486.92</v>
      </c>
      <c r="E321" s="7">
        <v>186.98</v>
      </c>
      <c r="F321" s="7">
        <v>66.08</v>
      </c>
      <c r="G321" s="7">
        <v>336.05</v>
      </c>
      <c r="H321">
        <f t="shared" si="24"/>
        <v>6.9102795822478039E-2</v>
      </c>
      <c r="I321">
        <f t="shared" si="25"/>
        <v>-1.924040176191626E-2</v>
      </c>
      <c r="J321">
        <f t="shared" si="26"/>
        <v>-4.1495389689044489E-2</v>
      </c>
      <c r="K321">
        <f t="shared" si="27"/>
        <v>1.5685539218539008E-2</v>
      </c>
      <c r="L321">
        <f t="shared" si="28"/>
        <v>-1.1136307715887811E-2</v>
      </c>
      <c r="M321">
        <f t="shared" si="29"/>
        <v>-8.3286241763698247E-4</v>
      </c>
    </row>
    <row r="322" spans="1:13" x14ac:dyDescent="0.2">
      <c r="A322" s="6">
        <v>45504</v>
      </c>
      <c r="B322" s="7">
        <v>103.69</v>
      </c>
      <c r="C322" s="7">
        <v>157.38999999999999</v>
      </c>
      <c r="D322" s="7">
        <v>492.07</v>
      </c>
      <c r="E322" s="7">
        <v>181.71</v>
      </c>
      <c r="F322" s="7">
        <v>66.900000000000006</v>
      </c>
      <c r="G322" s="7">
        <v>330.31</v>
      </c>
      <c r="H322">
        <f t="shared" si="24"/>
        <v>-0.12051181309242887</v>
      </c>
      <c r="I322">
        <f t="shared" si="25"/>
        <v>-4.0580868575029313E-3</v>
      </c>
      <c r="J322">
        <f t="shared" si="26"/>
        <v>1.052114425334639E-2</v>
      </c>
      <c r="K322">
        <f t="shared" si="27"/>
        <v>-2.8589649602203948E-2</v>
      </c>
      <c r="L322">
        <f t="shared" si="28"/>
        <v>1.2332837921460187E-2</v>
      </c>
      <c r="M322">
        <f t="shared" si="29"/>
        <v>-1.7228350970410068E-2</v>
      </c>
    </row>
    <row r="323" spans="1:13" x14ac:dyDescent="0.2">
      <c r="A323" s="6">
        <v>45503</v>
      </c>
      <c r="B323" s="7">
        <v>111.54</v>
      </c>
      <c r="C323" s="7">
        <v>158.34</v>
      </c>
      <c r="D323" s="7">
        <v>473.79</v>
      </c>
      <c r="E323" s="7">
        <v>183.2</v>
      </c>
      <c r="F323" s="7">
        <v>66.75</v>
      </c>
      <c r="G323" s="7">
        <v>341.42</v>
      </c>
      <c r="H323">
        <f t="shared" si="24"/>
        <v>7.297759239122098E-2</v>
      </c>
      <c r="I323">
        <f t="shared" si="25"/>
        <v>6.0178181797783314E-3</v>
      </c>
      <c r="J323">
        <f t="shared" si="26"/>
        <v>-3.7856797244669046E-2</v>
      </c>
      <c r="K323">
        <f t="shared" si="27"/>
        <v>8.1664425790642804E-3</v>
      </c>
      <c r="L323">
        <f t="shared" si="28"/>
        <v>-2.2446698538239728E-3</v>
      </c>
      <c r="M323">
        <f t="shared" si="29"/>
        <v>3.3081783507042009E-2</v>
      </c>
    </row>
    <row r="324" spans="1:13" x14ac:dyDescent="0.2">
      <c r="A324" s="6">
        <v>45502</v>
      </c>
      <c r="B324" s="7">
        <v>113.01</v>
      </c>
      <c r="C324" s="7">
        <v>165.71</v>
      </c>
      <c r="D324" s="7">
        <v>486.15</v>
      </c>
      <c r="E324" s="7">
        <v>182.5</v>
      </c>
      <c r="F324" s="7">
        <v>67.61</v>
      </c>
      <c r="G324" s="7">
        <v>337.66</v>
      </c>
      <c r="H324">
        <f t="shared" ref="H324:H387" si="30">LN(B324/B323)</f>
        <v>1.309303941065172E-2</v>
      </c>
      <c r="I324">
        <f t="shared" ref="I324:I387" si="31">LN(C324/C323)</f>
        <v>4.5494652898414777E-2</v>
      </c>
      <c r="J324">
        <f t="shared" ref="J324:J387" si="32">LN(D324/D323)</f>
        <v>2.5753032705593069E-2</v>
      </c>
      <c r="K324">
        <f t="shared" ref="K324:K387" si="33">LN(E324/E323)</f>
        <v>-3.8282792174836097E-3</v>
      </c>
      <c r="L324">
        <f t="shared" ref="L324:L387" si="34">LN(F324/F323)</f>
        <v>1.2801603822227593E-2</v>
      </c>
      <c r="M324">
        <f t="shared" ref="M324:M387" si="35">LN(G324/G323)</f>
        <v>-1.1073918903559148E-2</v>
      </c>
    </row>
    <row r="325" spans="1:13" x14ac:dyDescent="0.2">
      <c r="A325" s="6">
        <v>45499</v>
      </c>
      <c r="B325" s="7">
        <v>112.23</v>
      </c>
      <c r="C325" s="7">
        <v>169.78</v>
      </c>
      <c r="D325" s="7">
        <v>495.71</v>
      </c>
      <c r="E325" s="7">
        <v>179.85</v>
      </c>
      <c r="F325" s="7">
        <v>68.92</v>
      </c>
      <c r="G325" s="7">
        <v>342.89</v>
      </c>
      <c r="H325">
        <f t="shared" si="30"/>
        <v>-6.9259733438949544E-3</v>
      </c>
      <c r="I325">
        <f t="shared" si="31"/>
        <v>2.4264208668119278E-2</v>
      </c>
      <c r="J325">
        <f t="shared" si="32"/>
        <v>1.9473860059411353E-2</v>
      </c>
      <c r="K325">
        <f t="shared" si="33"/>
        <v>-1.4627002880913292E-2</v>
      </c>
      <c r="L325">
        <f t="shared" si="34"/>
        <v>1.9190510557142361E-2</v>
      </c>
      <c r="M325">
        <f t="shared" si="35"/>
        <v>1.5370223973288759E-2</v>
      </c>
    </row>
    <row r="326" spans="1:13" x14ac:dyDescent="0.2">
      <c r="A326" s="6">
        <v>45498</v>
      </c>
      <c r="B326" s="7">
        <v>114.2</v>
      </c>
      <c r="C326" s="7">
        <v>170.56</v>
      </c>
      <c r="D326" s="7">
        <v>472.89</v>
      </c>
      <c r="E326" s="7">
        <v>180.83</v>
      </c>
      <c r="F326" s="7">
        <v>67.78</v>
      </c>
      <c r="G326" s="7">
        <v>345.92</v>
      </c>
      <c r="H326">
        <f t="shared" si="30"/>
        <v>1.7400960193745346E-2</v>
      </c>
      <c r="I326">
        <f t="shared" si="31"/>
        <v>4.5836596676578929E-3</v>
      </c>
      <c r="J326">
        <f t="shared" si="32"/>
        <v>-4.7128275008516837E-2</v>
      </c>
      <c r="K326">
        <f t="shared" si="33"/>
        <v>5.4341932552553918E-3</v>
      </c>
      <c r="L326">
        <f t="shared" si="34"/>
        <v>-1.6679245480823567E-2</v>
      </c>
      <c r="M326">
        <f t="shared" si="35"/>
        <v>8.7978384285071296E-3</v>
      </c>
    </row>
    <row r="327" spans="1:13" x14ac:dyDescent="0.2">
      <c r="A327" s="6">
        <v>45497</v>
      </c>
      <c r="B327" s="7">
        <v>122.54</v>
      </c>
      <c r="C327" s="7">
        <v>169.32</v>
      </c>
      <c r="D327" s="7">
        <v>461.3</v>
      </c>
      <c r="E327" s="7">
        <v>186.41</v>
      </c>
      <c r="F327" s="7">
        <v>68.33</v>
      </c>
      <c r="G327" s="7">
        <v>355.17</v>
      </c>
      <c r="H327">
        <f t="shared" si="30"/>
        <v>7.0486210075598743E-2</v>
      </c>
      <c r="I327">
        <f t="shared" si="31"/>
        <v>-7.2967253247568399E-3</v>
      </c>
      <c r="J327">
        <f t="shared" si="32"/>
        <v>-2.4814212742785852E-2</v>
      </c>
      <c r="K327">
        <f t="shared" si="33"/>
        <v>3.0391185484265743E-2</v>
      </c>
      <c r="L327">
        <f t="shared" si="34"/>
        <v>8.0817426137815424E-3</v>
      </c>
      <c r="M327">
        <f t="shared" si="35"/>
        <v>2.6389013640811091E-2</v>
      </c>
    </row>
    <row r="328" spans="1:13" x14ac:dyDescent="0.2">
      <c r="A328" s="6">
        <v>45496</v>
      </c>
      <c r="B328" s="7">
        <v>123.49</v>
      </c>
      <c r="C328" s="7">
        <v>168.56</v>
      </c>
      <c r="D328" s="7">
        <v>463.81</v>
      </c>
      <c r="E328" s="7">
        <v>182.55</v>
      </c>
      <c r="F328" s="7">
        <v>68.75</v>
      </c>
      <c r="G328" s="7">
        <v>350.85</v>
      </c>
      <c r="H328">
        <f t="shared" si="30"/>
        <v>7.7226738322223676E-3</v>
      </c>
      <c r="I328">
        <f t="shared" si="31"/>
        <v>-4.4986461567892771E-3</v>
      </c>
      <c r="J328">
        <f t="shared" si="32"/>
        <v>5.4263950429011007E-3</v>
      </c>
      <c r="K328">
        <f t="shared" si="33"/>
        <v>-2.0924440779508169E-2</v>
      </c>
      <c r="L328">
        <f t="shared" si="34"/>
        <v>6.1278277539938142E-3</v>
      </c>
      <c r="M328">
        <f t="shared" si="35"/>
        <v>-1.2237766393356784E-2</v>
      </c>
    </row>
    <row r="329" spans="1:13" x14ac:dyDescent="0.2">
      <c r="A329" s="6">
        <v>45495</v>
      </c>
      <c r="B329" s="7">
        <v>117.88</v>
      </c>
      <c r="C329" s="7">
        <v>166.05</v>
      </c>
      <c r="D329" s="7">
        <v>463.8</v>
      </c>
      <c r="E329" s="7">
        <v>183.13</v>
      </c>
      <c r="F329" s="7">
        <v>68.91</v>
      </c>
      <c r="G329" s="7">
        <v>348.9</v>
      </c>
      <c r="H329">
        <f t="shared" si="30"/>
        <v>-4.6493023260237104E-2</v>
      </c>
      <c r="I329">
        <f t="shared" si="31"/>
        <v>-1.5002821673177963E-2</v>
      </c>
      <c r="J329">
        <f t="shared" si="32"/>
        <v>-2.1560785244609245E-5</v>
      </c>
      <c r="K329">
        <f t="shared" si="33"/>
        <v>3.1721750512112004E-3</v>
      </c>
      <c r="L329">
        <f t="shared" si="34"/>
        <v>2.3245688224359058E-3</v>
      </c>
      <c r="M329">
        <f t="shared" si="35"/>
        <v>-5.5734335055693703E-3</v>
      </c>
    </row>
    <row r="330" spans="1:13" x14ac:dyDescent="0.2">
      <c r="A330" s="6">
        <v>45492</v>
      </c>
      <c r="B330" s="7">
        <v>121.04</v>
      </c>
      <c r="C330" s="7">
        <v>166.32</v>
      </c>
      <c r="D330" s="7">
        <v>451.56</v>
      </c>
      <c r="E330" s="7">
        <v>183.75</v>
      </c>
      <c r="F330" s="7">
        <v>69.150000000000006</v>
      </c>
      <c r="G330" s="7">
        <v>346.82</v>
      </c>
      <c r="H330">
        <f t="shared" si="30"/>
        <v>2.6453911610606624E-2</v>
      </c>
      <c r="I330">
        <f t="shared" si="31"/>
        <v>1.6246957270017613E-3</v>
      </c>
      <c r="J330">
        <f t="shared" si="32"/>
        <v>-2.6745170428085146E-2</v>
      </c>
      <c r="K330">
        <f t="shared" si="33"/>
        <v>3.3798549400889085E-3</v>
      </c>
      <c r="L330">
        <f t="shared" si="34"/>
        <v>3.4767527416506693E-3</v>
      </c>
      <c r="M330">
        <f t="shared" si="35"/>
        <v>-5.9794348223251919E-3</v>
      </c>
    </row>
    <row r="331" spans="1:13" x14ac:dyDescent="0.2">
      <c r="A331" s="6">
        <v>45491</v>
      </c>
      <c r="B331" s="7">
        <v>117.94</v>
      </c>
      <c r="C331" s="7">
        <v>171.64</v>
      </c>
      <c r="D331" s="7">
        <v>459.39</v>
      </c>
      <c r="E331" s="7">
        <v>187.93</v>
      </c>
      <c r="F331" s="7">
        <v>69.72</v>
      </c>
      <c r="G331" s="7">
        <v>340.82</v>
      </c>
      <c r="H331">
        <f t="shared" si="30"/>
        <v>-2.5945048907742452E-2</v>
      </c>
      <c r="I331">
        <f t="shared" si="31"/>
        <v>3.1485616573566494E-2</v>
      </c>
      <c r="J331">
        <f t="shared" si="32"/>
        <v>1.7191268101879841E-2</v>
      </c>
      <c r="K331">
        <f t="shared" si="33"/>
        <v>2.2493414975563408E-2</v>
      </c>
      <c r="L331">
        <f t="shared" si="34"/>
        <v>8.2091625410528526E-3</v>
      </c>
      <c r="M331">
        <f t="shared" si="35"/>
        <v>-1.745143469115654E-2</v>
      </c>
    </row>
    <row r="332" spans="1:13" x14ac:dyDescent="0.2">
      <c r="A332" s="6">
        <v>45490</v>
      </c>
      <c r="B332" s="7">
        <v>126.31</v>
      </c>
      <c r="C332" s="7">
        <v>180.75</v>
      </c>
      <c r="D332" s="7">
        <v>486.69</v>
      </c>
      <c r="E332" s="7">
        <v>193.02</v>
      </c>
      <c r="F332" s="7">
        <v>69.77</v>
      </c>
      <c r="G332" s="7">
        <v>337.95</v>
      </c>
      <c r="H332">
        <f t="shared" si="30"/>
        <v>6.8563182213525767E-2</v>
      </c>
      <c r="I332">
        <f t="shared" si="31"/>
        <v>5.1715600915550296E-2</v>
      </c>
      <c r="J332">
        <f t="shared" si="32"/>
        <v>5.7727847595191215E-2</v>
      </c>
      <c r="K332">
        <f t="shared" si="33"/>
        <v>2.6724257410480502E-2</v>
      </c>
      <c r="L332">
        <f t="shared" si="34"/>
        <v>7.1689729932487573E-4</v>
      </c>
      <c r="M332">
        <f t="shared" si="35"/>
        <v>-8.4565231328834652E-3</v>
      </c>
    </row>
    <row r="333" spans="1:13" x14ac:dyDescent="0.2">
      <c r="A333" s="6">
        <v>45489</v>
      </c>
      <c r="B333" s="7">
        <v>128.38999999999999</v>
      </c>
      <c r="C333" s="7">
        <v>180.63</v>
      </c>
      <c r="D333" s="7">
        <v>485.41</v>
      </c>
      <c r="E333" s="7">
        <v>192.72</v>
      </c>
      <c r="F333" s="7">
        <v>69.5</v>
      </c>
      <c r="G333" s="7">
        <v>346.93</v>
      </c>
      <c r="H333">
        <f t="shared" si="30"/>
        <v>1.6333303817108163E-2</v>
      </c>
      <c r="I333">
        <f t="shared" si="31"/>
        <v>-6.6412089440795387E-4</v>
      </c>
      <c r="J333">
        <f t="shared" si="32"/>
        <v>-2.6334754444065438E-3</v>
      </c>
      <c r="K333">
        <f t="shared" si="33"/>
        <v>-1.5554521723740672E-3</v>
      </c>
      <c r="L333">
        <f t="shared" si="34"/>
        <v>-3.8773653803987336E-3</v>
      </c>
      <c r="M333">
        <f t="shared" si="35"/>
        <v>2.6225074943814857E-2</v>
      </c>
    </row>
    <row r="334" spans="1:13" x14ac:dyDescent="0.2">
      <c r="A334" s="6">
        <v>45488</v>
      </c>
      <c r="B334" s="7">
        <v>129.18</v>
      </c>
      <c r="C334" s="7">
        <v>176.65</v>
      </c>
      <c r="D334" s="7">
        <v>474.84</v>
      </c>
      <c r="E334" s="7">
        <v>194.49</v>
      </c>
      <c r="F334" s="7">
        <v>69.87</v>
      </c>
      <c r="G334" s="7">
        <v>350.43</v>
      </c>
      <c r="H334">
        <f t="shared" si="30"/>
        <v>6.1342740013344719E-3</v>
      </c>
      <c r="I334">
        <f t="shared" si="31"/>
        <v>-2.2280366339311901E-2</v>
      </c>
      <c r="J334">
        <f t="shared" si="32"/>
        <v>-2.201598946067752E-2</v>
      </c>
      <c r="K334">
        <f t="shared" si="33"/>
        <v>9.1423895483980465E-3</v>
      </c>
      <c r="L334">
        <f t="shared" si="34"/>
        <v>5.3096199936128645E-3</v>
      </c>
      <c r="M334">
        <f t="shared" si="35"/>
        <v>1.0037941345536532E-2</v>
      </c>
    </row>
    <row r="335" spans="1:13" x14ac:dyDescent="0.2">
      <c r="A335" s="6">
        <v>45485</v>
      </c>
      <c r="B335" s="7">
        <v>127.35</v>
      </c>
      <c r="C335" s="7">
        <v>176.68</v>
      </c>
      <c r="D335" s="7">
        <v>473.91</v>
      </c>
      <c r="E335" s="7">
        <v>195.05</v>
      </c>
      <c r="F335" s="7">
        <v>69.94</v>
      </c>
      <c r="G335" s="7">
        <v>350.54</v>
      </c>
      <c r="H335">
        <f t="shared" si="30"/>
        <v>-1.4267579178860769E-2</v>
      </c>
      <c r="I335">
        <f t="shared" si="31"/>
        <v>1.6981292317156104E-4</v>
      </c>
      <c r="J335">
        <f t="shared" si="32"/>
        <v>-1.9604749362175703E-3</v>
      </c>
      <c r="K335">
        <f t="shared" si="33"/>
        <v>2.8751880976515135E-3</v>
      </c>
      <c r="L335">
        <f t="shared" si="34"/>
        <v>1.0013590708703656E-3</v>
      </c>
      <c r="M335">
        <f t="shared" si="35"/>
        <v>3.1385080931542345E-4</v>
      </c>
    </row>
    <row r="336" spans="1:13" x14ac:dyDescent="0.2">
      <c r="A336" s="6">
        <v>45484</v>
      </c>
      <c r="B336" s="7">
        <v>134.85</v>
      </c>
      <c r="C336" s="7">
        <v>179.99</v>
      </c>
      <c r="D336" s="7">
        <v>460.1</v>
      </c>
      <c r="E336" s="7">
        <v>199.79</v>
      </c>
      <c r="F336" s="7">
        <v>70.14</v>
      </c>
      <c r="G336" s="7">
        <v>353.16</v>
      </c>
      <c r="H336">
        <f t="shared" si="30"/>
        <v>5.7223848160272935E-2</v>
      </c>
      <c r="I336">
        <f t="shared" si="31"/>
        <v>1.8561107063061986E-2</v>
      </c>
      <c r="J336">
        <f t="shared" si="32"/>
        <v>-2.957357308769256E-2</v>
      </c>
      <c r="K336">
        <f t="shared" si="33"/>
        <v>2.4010878959192038E-2</v>
      </c>
      <c r="L336">
        <f t="shared" si="34"/>
        <v>2.8555130768024069E-3</v>
      </c>
      <c r="M336">
        <f t="shared" si="35"/>
        <v>7.4463893883518874E-3</v>
      </c>
    </row>
    <row r="337" spans="1:13" x14ac:dyDescent="0.2">
      <c r="A337" s="6">
        <v>45483</v>
      </c>
      <c r="B337" s="7">
        <v>131.32</v>
      </c>
      <c r="C337" s="7">
        <v>182.87</v>
      </c>
      <c r="D337" s="7">
        <v>487.79</v>
      </c>
      <c r="E337" s="7">
        <v>199.34</v>
      </c>
      <c r="F337" s="7">
        <v>69.12</v>
      </c>
      <c r="G337" s="7">
        <v>358.76</v>
      </c>
      <c r="H337">
        <f t="shared" si="30"/>
        <v>-2.6525956952347059E-2</v>
      </c>
      <c r="I337">
        <f t="shared" si="31"/>
        <v>1.5874224095153787E-2</v>
      </c>
      <c r="J337">
        <f t="shared" si="32"/>
        <v>5.8441128205262892E-2</v>
      </c>
      <c r="K337">
        <f t="shared" si="33"/>
        <v>-2.2549053725473209E-3</v>
      </c>
      <c r="L337">
        <f t="shared" si="34"/>
        <v>-1.464912021623177E-2</v>
      </c>
      <c r="M337">
        <f t="shared" si="35"/>
        <v>1.5732429216420509E-2</v>
      </c>
    </row>
    <row r="338" spans="1:13" x14ac:dyDescent="0.2">
      <c r="A338" s="6">
        <v>45482</v>
      </c>
      <c r="B338" s="7">
        <v>128.15</v>
      </c>
      <c r="C338" s="7">
        <v>185.46</v>
      </c>
      <c r="D338" s="7">
        <v>494.13</v>
      </c>
      <c r="E338" s="7">
        <v>199.29</v>
      </c>
      <c r="F338" s="7">
        <v>68.739999999999995</v>
      </c>
      <c r="G338" s="7">
        <v>356.09</v>
      </c>
      <c r="H338">
        <f t="shared" si="30"/>
        <v>-2.4435639823311667E-2</v>
      </c>
      <c r="I338">
        <f t="shared" si="31"/>
        <v>1.4063707485538347E-2</v>
      </c>
      <c r="J338">
        <f t="shared" si="32"/>
        <v>1.2913655096008224E-2</v>
      </c>
      <c r="K338">
        <f t="shared" si="33"/>
        <v>-2.5085919405075662E-4</v>
      </c>
      <c r="L338">
        <f t="shared" si="34"/>
        <v>-5.5128530741125137E-3</v>
      </c>
      <c r="M338">
        <f t="shared" si="35"/>
        <v>-7.4701333598153922E-3</v>
      </c>
    </row>
    <row r="339" spans="1:13" x14ac:dyDescent="0.2">
      <c r="A339" s="6">
        <v>45481</v>
      </c>
      <c r="B339" s="7">
        <v>125.78</v>
      </c>
      <c r="C339" s="7">
        <v>184.01</v>
      </c>
      <c r="D339" s="7">
        <v>496.83</v>
      </c>
      <c r="E339" s="7">
        <v>200</v>
      </c>
      <c r="F339" s="7">
        <v>68.38</v>
      </c>
      <c r="G339" s="7">
        <v>345.81</v>
      </c>
      <c r="H339">
        <f t="shared" si="30"/>
        <v>-1.8667103694722905E-2</v>
      </c>
      <c r="I339">
        <f t="shared" si="31"/>
        <v>-7.8491214137970215E-3</v>
      </c>
      <c r="J339">
        <f t="shared" si="32"/>
        <v>5.4492748068152453E-3</v>
      </c>
      <c r="K339">
        <f t="shared" si="33"/>
        <v>3.5563162027772983E-3</v>
      </c>
      <c r="L339">
        <f t="shared" si="34"/>
        <v>-5.2508872105325689E-3</v>
      </c>
      <c r="M339">
        <f t="shared" si="35"/>
        <v>-2.9294016608956034E-2</v>
      </c>
    </row>
    <row r="340" spans="1:13" x14ac:dyDescent="0.2">
      <c r="A340" s="6">
        <v>45478</v>
      </c>
      <c r="B340" s="7">
        <v>128.22999999999999</v>
      </c>
      <c r="C340" s="7">
        <v>184.51</v>
      </c>
      <c r="D340" s="7">
        <v>510.61</v>
      </c>
      <c r="E340" s="7">
        <v>197.59</v>
      </c>
      <c r="F340" s="7">
        <v>68.930000000000007</v>
      </c>
      <c r="G340" s="7">
        <v>347.07</v>
      </c>
      <c r="H340">
        <f t="shared" si="30"/>
        <v>1.9291177355667027E-2</v>
      </c>
      <c r="I340">
        <f t="shared" si="31"/>
        <v>2.7135585955079008E-3</v>
      </c>
      <c r="J340">
        <f t="shared" si="32"/>
        <v>2.7358174148288044E-2</v>
      </c>
      <c r="K340">
        <f t="shared" si="33"/>
        <v>-1.2123189802310612E-2</v>
      </c>
      <c r="L340">
        <f t="shared" si="34"/>
        <v>8.0111126864054888E-3</v>
      </c>
      <c r="M340">
        <f t="shared" si="35"/>
        <v>3.636997427876282E-3</v>
      </c>
    </row>
    <row r="341" spans="1:13" x14ac:dyDescent="0.2">
      <c r="A341" s="6">
        <v>45476</v>
      </c>
      <c r="B341" s="7">
        <v>122.62</v>
      </c>
      <c r="C341" s="7">
        <v>190.09</v>
      </c>
      <c r="D341" s="7">
        <v>532.51</v>
      </c>
      <c r="E341" s="7">
        <v>200</v>
      </c>
      <c r="F341" s="7">
        <v>69.53</v>
      </c>
      <c r="G341" s="7">
        <v>341.3</v>
      </c>
      <c r="H341">
        <f t="shared" si="30"/>
        <v>-4.4735384136482412E-2</v>
      </c>
      <c r="I341">
        <f t="shared" si="31"/>
        <v>2.9793981664271198E-2</v>
      </c>
      <c r="J341">
        <f t="shared" si="32"/>
        <v>4.1995587332176232E-2</v>
      </c>
      <c r="K341">
        <f t="shared" si="33"/>
        <v>1.2123189802310669E-2</v>
      </c>
      <c r="L341">
        <f t="shared" si="34"/>
        <v>8.666817213365997E-3</v>
      </c>
      <c r="M341">
        <f t="shared" si="35"/>
        <v>-1.6764632796245786E-2</v>
      </c>
    </row>
    <row r="342" spans="1:13" x14ac:dyDescent="0.2">
      <c r="A342" s="6">
        <v>45475</v>
      </c>
      <c r="B342" s="7">
        <v>124.25</v>
      </c>
      <c r="C342" s="7">
        <v>187.9</v>
      </c>
      <c r="D342" s="7">
        <v>527.84</v>
      </c>
      <c r="E342" s="7">
        <v>197.2</v>
      </c>
      <c r="F342" s="7">
        <v>69.03</v>
      </c>
      <c r="G342" s="7">
        <v>332.03</v>
      </c>
      <c r="H342">
        <f t="shared" si="30"/>
        <v>1.3205522642196117E-2</v>
      </c>
      <c r="I342">
        <f t="shared" si="31"/>
        <v>-1.1587737798642542E-2</v>
      </c>
      <c r="J342">
        <f t="shared" si="32"/>
        <v>-8.8084692697021887E-3</v>
      </c>
      <c r="K342">
        <f t="shared" si="33"/>
        <v>-1.4098924379501648E-2</v>
      </c>
      <c r="L342">
        <f t="shared" si="34"/>
        <v>-7.2171213955422699E-3</v>
      </c>
      <c r="M342">
        <f t="shared" si="35"/>
        <v>-2.7536529632739365E-2</v>
      </c>
    </row>
    <row r="343" spans="1:13" x14ac:dyDescent="0.2">
      <c r="A343" s="6">
        <v>45474</v>
      </c>
      <c r="B343" s="7">
        <v>123.49</v>
      </c>
      <c r="C343" s="7">
        <v>187.95</v>
      </c>
      <c r="D343" s="7">
        <v>527.16</v>
      </c>
      <c r="E343" s="7">
        <v>193.25</v>
      </c>
      <c r="F343" s="7">
        <v>68.81</v>
      </c>
      <c r="G343" s="7">
        <v>325.19</v>
      </c>
      <c r="H343">
        <f t="shared" si="30"/>
        <v>-6.1354838470070805E-3</v>
      </c>
      <c r="I343">
        <f t="shared" si="31"/>
        <v>2.6606359076720765E-4</v>
      </c>
      <c r="J343">
        <f t="shared" si="32"/>
        <v>-1.2890997045828761E-3</v>
      </c>
      <c r="K343">
        <f t="shared" si="33"/>
        <v>-2.0233754701003661E-2</v>
      </c>
      <c r="L343">
        <f t="shared" si="34"/>
        <v>-3.1921095009957027E-3</v>
      </c>
      <c r="M343">
        <f t="shared" si="35"/>
        <v>-2.0815699386570005E-2</v>
      </c>
    </row>
    <row r="344" spans="1:13" x14ac:dyDescent="0.2">
      <c r="A344" s="6">
        <v>45471</v>
      </c>
      <c r="B344" s="7">
        <v>123.94</v>
      </c>
      <c r="C344" s="7">
        <v>189.51</v>
      </c>
      <c r="D344" s="7">
        <v>537.70000000000005</v>
      </c>
      <c r="E344" s="7">
        <v>197.85</v>
      </c>
      <c r="F344" s="7">
        <v>69.17</v>
      </c>
      <c r="G344" s="7">
        <v>327.61</v>
      </c>
      <c r="H344">
        <f t="shared" si="30"/>
        <v>3.6373964042303712E-3</v>
      </c>
      <c r="I344">
        <f t="shared" si="31"/>
        <v>8.2658235685318313E-3</v>
      </c>
      <c r="J344">
        <f t="shared" si="32"/>
        <v>1.9796676039944006E-2</v>
      </c>
      <c r="K344">
        <f t="shared" si="33"/>
        <v>2.3524480363901874E-2</v>
      </c>
      <c r="L344">
        <f t="shared" si="34"/>
        <v>5.2181593981048373E-3</v>
      </c>
      <c r="M344">
        <f t="shared" si="35"/>
        <v>7.4142496502081412E-3</v>
      </c>
    </row>
    <row r="345" spans="1:13" x14ac:dyDescent="0.2">
      <c r="A345" s="6">
        <v>45470</v>
      </c>
      <c r="B345" s="7">
        <v>126.35</v>
      </c>
      <c r="C345" s="7">
        <v>184.76</v>
      </c>
      <c r="D345" s="7">
        <v>507.88</v>
      </c>
      <c r="E345" s="7">
        <v>193.61</v>
      </c>
      <c r="F345" s="7">
        <v>67.39</v>
      </c>
      <c r="G345" s="7">
        <v>322.77</v>
      </c>
      <c r="H345">
        <f t="shared" si="30"/>
        <v>1.9258256300241774E-2</v>
      </c>
      <c r="I345">
        <f t="shared" si="31"/>
        <v>-2.5384108016314043E-2</v>
      </c>
      <c r="J345">
        <f t="shared" si="32"/>
        <v>-5.7055584614041865E-2</v>
      </c>
      <c r="K345">
        <f t="shared" si="33"/>
        <v>-2.1663341430359279E-2</v>
      </c>
      <c r="L345">
        <f t="shared" si="34"/>
        <v>-2.6070603654367745E-2</v>
      </c>
      <c r="M345">
        <f t="shared" si="35"/>
        <v>-1.4883881269632721E-2</v>
      </c>
    </row>
    <row r="346" spans="1:13" x14ac:dyDescent="0.2">
      <c r="A346" s="6">
        <v>45469</v>
      </c>
      <c r="B346" s="7">
        <v>126.04</v>
      </c>
      <c r="C346" s="7">
        <v>184.18</v>
      </c>
      <c r="D346" s="7">
        <v>507.42</v>
      </c>
      <c r="E346" s="7">
        <v>186.34</v>
      </c>
      <c r="F346" s="7">
        <v>67.22</v>
      </c>
      <c r="G346" s="7">
        <v>321.86</v>
      </c>
      <c r="H346">
        <f t="shared" si="30"/>
        <v>-2.4565169451292684E-3</v>
      </c>
      <c r="I346">
        <f t="shared" si="31"/>
        <v>-3.1441452691836364E-3</v>
      </c>
      <c r="J346">
        <f t="shared" si="32"/>
        <v>-9.0613617940475807E-4</v>
      </c>
      <c r="K346">
        <f t="shared" si="33"/>
        <v>-3.8272864378795117E-2</v>
      </c>
      <c r="L346">
        <f t="shared" si="34"/>
        <v>-2.5258166611660526E-3</v>
      </c>
      <c r="M346">
        <f t="shared" si="35"/>
        <v>-2.8233268835785911E-3</v>
      </c>
    </row>
    <row r="347" spans="1:13" x14ac:dyDescent="0.2">
      <c r="A347" s="6">
        <v>45468</v>
      </c>
      <c r="B347" s="7">
        <v>118.06</v>
      </c>
      <c r="C347" s="7">
        <v>181.95</v>
      </c>
      <c r="D347" s="7">
        <v>502.62</v>
      </c>
      <c r="E347" s="7">
        <v>185.57</v>
      </c>
      <c r="F347" s="7">
        <v>66.64</v>
      </c>
      <c r="G347" s="7">
        <v>323.14999999999998</v>
      </c>
      <c r="H347">
        <f t="shared" si="30"/>
        <v>-6.5406347076530535E-2</v>
      </c>
      <c r="I347">
        <f t="shared" si="31"/>
        <v>-1.2181616235052239E-2</v>
      </c>
      <c r="J347">
        <f t="shared" si="32"/>
        <v>-9.5046456284128018E-3</v>
      </c>
      <c r="K347">
        <f t="shared" si="33"/>
        <v>-4.1407926660314998E-3</v>
      </c>
      <c r="L347">
        <f t="shared" si="34"/>
        <v>-8.6658244383723358E-3</v>
      </c>
      <c r="M347">
        <f t="shared" si="35"/>
        <v>3.9999433185555575E-3</v>
      </c>
    </row>
    <row r="348" spans="1:13" x14ac:dyDescent="0.2">
      <c r="A348" s="6">
        <v>45467</v>
      </c>
      <c r="B348" s="7">
        <v>126.52</v>
      </c>
      <c r="C348" s="7">
        <v>181.11</v>
      </c>
      <c r="D348" s="7">
        <v>502.16</v>
      </c>
      <c r="E348" s="7">
        <v>189.08</v>
      </c>
      <c r="F348" s="7">
        <v>66.87</v>
      </c>
      <c r="G348" s="7">
        <v>324.32</v>
      </c>
      <c r="H348">
        <f t="shared" si="30"/>
        <v>6.920742862490481E-2</v>
      </c>
      <c r="I348">
        <f t="shared" si="31"/>
        <v>-4.627342581724204E-3</v>
      </c>
      <c r="J348">
        <f t="shared" si="32"/>
        <v>-9.1562338449680859E-4</v>
      </c>
      <c r="K348">
        <f t="shared" si="33"/>
        <v>1.8738036568788228E-2</v>
      </c>
      <c r="L348">
        <f t="shared" si="34"/>
        <v>3.44543820729998E-3</v>
      </c>
      <c r="M348">
        <f t="shared" si="35"/>
        <v>3.6140709947854979E-3</v>
      </c>
    </row>
    <row r="349" spans="1:13" x14ac:dyDescent="0.2">
      <c r="A349" s="6">
        <v>45464</v>
      </c>
      <c r="B349" s="7">
        <v>130.72</v>
      </c>
      <c r="C349" s="7">
        <v>184.35</v>
      </c>
      <c r="D349" s="7">
        <v>517.44000000000005</v>
      </c>
      <c r="E349" s="7">
        <v>186.1</v>
      </c>
      <c r="F349" s="7">
        <v>67.03</v>
      </c>
      <c r="G349" s="7">
        <v>332.09</v>
      </c>
      <c r="H349">
        <f t="shared" si="30"/>
        <v>3.2657232674244641E-2</v>
      </c>
      <c r="I349">
        <f t="shared" si="31"/>
        <v>1.7731543203708889E-2</v>
      </c>
      <c r="J349">
        <f t="shared" si="32"/>
        <v>2.997478237946569E-2</v>
      </c>
      <c r="K349">
        <f t="shared" si="33"/>
        <v>-1.5886042276830603E-2</v>
      </c>
      <c r="L349">
        <f t="shared" si="34"/>
        <v>2.3898443039791057E-3</v>
      </c>
      <c r="M349">
        <f t="shared" si="35"/>
        <v>2.3675333813428026E-2</v>
      </c>
    </row>
    <row r="350" spans="1:13" x14ac:dyDescent="0.2">
      <c r="A350" s="6">
        <v>45463</v>
      </c>
      <c r="B350" s="7">
        <v>135.52000000000001</v>
      </c>
      <c r="C350" s="7">
        <v>182.83</v>
      </c>
      <c r="D350" s="7">
        <v>511.02</v>
      </c>
      <c r="E350" s="7">
        <v>182.81</v>
      </c>
      <c r="F350" s="7">
        <v>67.44</v>
      </c>
      <c r="G350" s="7">
        <v>329.44</v>
      </c>
      <c r="H350">
        <f t="shared" si="30"/>
        <v>3.6061599792051549E-2</v>
      </c>
      <c r="I350">
        <f t="shared" si="31"/>
        <v>-8.2793653397399032E-3</v>
      </c>
      <c r="J350">
        <f t="shared" si="32"/>
        <v>-1.2484848007697641E-2</v>
      </c>
      <c r="K350">
        <f t="shared" si="33"/>
        <v>-1.7836801529211181E-2</v>
      </c>
      <c r="L350">
        <f t="shared" si="34"/>
        <v>6.0980333237336086E-3</v>
      </c>
      <c r="M350">
        <f t="shared" si="35"/>
        <v>-8.0117732376385562E-3</v>
      </c>
    </row>
    <row r="351" spans="1:13" x14ac:dyDescent="0.2">
      <c r="A351" s="6">
        <v>45461</v>
      </c>
      <c r="B351" s="7">
        <v>130.91999999999999</v>
      </c>
      <c r="C351" s="7">
        <v>182.98</v>
      </c>
      <c r="D351" s="7">
        <v>508.51</v>
      </c>
      <c r="E351" s="7">
        <v>184.06</v>
      </c>
      <c r="F351" s="7">
        <v>66.58</v>
      </c>
      <c r="G351" s="7">
        <v>329.76</v>
      </c>
      <c r="H351">
        <f t="shared" si="30"/>
        <v>-3.4532781270764687E-2</v>
      </c>
      <c r="I351">
        <f t="shared" si="31"/>
        <v>8.2009791097564571E-4</v>
      </c>
      <c r="J351">
        <f t="shared" si="32"/>
        <v>-4.9238474024143877E-3</v>
      </c>
      <c r="K351">
        <f t="shared" si="33"/>
        <v>6.8144292917169582E-3</v>
      </c>
      <c r="L351">
        <f t="shared" si="34"/>
        <v>-1.2834081546721119E-2</v>
      </c>
      <c r="M351">
        <f t="shared" si="35"/>
        <v>9.7087386266965026E-4</v>
      </c>
    </row>
    <row r="352" spans="1:13" x14ac:dyDescent="0.2">
      <c r="A352" s="6">
        <v>45460</v>
      </c>
      <c r="B352" s="7">
        <v>131.82</v>
      </c>
      <c r="C352" s="7">
        <v>178.2</v>
      </c>
      <c r="D352" s="7">
        <v>496.87</v>
      </c>
      <c r="E352" s="7">
        <v>183.66</v>
      </c>
      <c r="F352" s="7">
        <v>68.040000000000006</v>
      </c>
      <c r="G352" s="7">
        <v>326.38</v>
      </c>
      <c r="H352">
        <f t="shared" si="30"/>
        <v>6.8509059915942269E-3</v>
      </c>
      <c r="I352">
        <f t="shared" si="31"/>
        <v>-2.6470342214680267E-2</v>
      </c>
      <c r="J352">
        <f t="shared" si="32"/>
        <v>-2.3156458513746814E-2</v>
      </c>
      <c r="K352">
        <f t="shared" si="33"/>
        <v>-2.1755692253347179E-3</v>
      </c>
      <c r="L352">
        <f t="shared" si="34"/>
        <v>2.1691535380782234E-2</v>
      </c>
      <c r="M352">
        <f t="shared" si="35"/>
        <v>-1.0302770439360304E-2</v>
      </c>
    </row>
    <row r="353" spans="1:13" x14ac:dyDescent="0.2">
      <c r="A353" s="6">
        <v>45457</v>
      </c>
      <c r="B353" s="7">
        <v>129.55000000000001</v>
      </c>
      <c r="C353" s="7">
        <v>178.6</v>
      </c>
      <c r="D353" s="7">
        <v>492.76</v>
      </c>
      <c r="E353" s="7">
        <v>183.83</v>
      </c>
      <c r="F353" s="7">
        <v>67.06</v>
      </c>
      <c r="G353" s="7">
        <v>338.5</v>
      </c>
      <c r="H353">
        <f t="shared" si="30"/>
        <v>-1.737044861645478E-2</v>
      </c>
      <c r="I353">
        <f t="shared" si="31"/>
        <v>2.2421534056897268E-3</v>
      </c>
      <c r="J353">
        <f t="shared" si="32"/>
        <v>-8.3061823711100564E-3</v>
      </c>
      <c r="K353">
        <f t="shared" si="33"/>
        <v>9.2519530940432385E-4</v>
      </c>
      <c r="L353">
        <f t="shared" si="34"/>
        <v>-1.4508026489578633E-2</v>
      </c>
      <c r="M353">
        <f t="shared" si="35"/>
        <v>3.6461745649541202E-2</v>
      </c>
    </row>
    <row r="354" spans="1:13" x14ac:dyDescent="0.2">
      <c r="A354" s="6">
        <v>45456</v>
      </c>
      <c r="B354" s="7">
        <v>125.15</v>
      </c>
      <c r="C354" s="7">
        <v>175.29</v>
      </c>
      <c r="D354" s="7">
        <v>499.65</v>
      </c>
      <c r="E354" s="7">
        <v>186.89</v>
      </c>
      <c r="F354" s="7">
        <v>67.16</v>
      </c>
      <c r="G354" s="7">
        <v>343.24</v>
      </c>
      <c r="H354">
        <f t="shared" si="30"/>
        <v>-3.4553889130335844E-2</v>
      </c>
      <c r="I354">
        <f t="shared" si="31"/>
        <v>-1.8706923207943302E-2</v>
      </c>
      <c r="J354">
        <f t="shared" si="32"/>
        <v>1.3885613214024905E-2</v>
      </c>
      <c r="K354">
        <f t="shared" si="33"/>
        <v>1.6508790987430709E-2</v>
      </c>
      <c r="L354">
        <f t="shared" si="34"/>
        <v>1.4900911712574505E-3</v>
      </c>
      <c r="M354">
        <f t="shared" si="35"/>
        <v>1.3905818586590454E-2</v>
      </c>
    </row>
    <row r="355" spans="1:13" x14ac:dyDescent="0.2">
      <c r="A355" s="6">
        <v>45454</v>
      </c>
      <c r="B355" s="7">
        <v>120.86</v>
      </c>
      <c r="C355" s="7">
        <v>174.09</v>
      </c>
      <c r="D355" s="7">
        <v>497.45</v>
      </c>
      <c r="E355" s="7">
        <v>187.23</v>
      </c>
      <c r="F355" s="7">
        <v>66.760000000000005</v>
      </c>
      <c r="G355" s="7">
        <v>340.97</v>
      </c>
      <c r="H355">
        <f t="shared" si="30"/>
        <v>-3.488016694437085E-2</v>
      </c>
      <c r="I355">
        <f t="shared" si="31"/>
        <v>-6.8693383638287068E-3</v>
      </c>
      <c r="J355">
        <f t="shared" si="32"/>
        <v>-4.4128042724296572E-3</v>
      </c>
      <c r="K355">
        <f t="shared" si="33"/>
        <v>1.8175991318500834E-3</v>
      </c>
      <c r="L355">
        <f t="shared" si="34"/>
        <v>-5.9737334157055925E-3</v>
      </c>
      <c r="M355">
        <f t="shared" si="35"/>
        <v>-6.6354140651555538E-3</v>
      </c>
    </row>
    <row r="356" spans="1:13" x14ac:dyDescent="0.2">
      <c r="A356" s="6">
        <v>45453</v>
      </c>
      <c r="B356" s="7">
        <v>121.73</v>
      </c>
      <c r="C356" s="7">
        <v>176.23</v>
      </c>
      <c r="D356" s="7">
        <v>504.56</v>
      </c>
      <c r="E356" s="7">
        <v>187.06</v>
      </c>
      <c r="F356" s="7">
        <v>66.58</v>
      </c>
      <c r="G356" s="7">
        <v>341.38</v>
      </c>
      <c r="H356">
        <f t="shared" si="30"/>
        <v>7.1726264880924654E-3</v>
      </c>
      <c r="I356">
        <f t="shared" si="31"/>
        <v>1.221755320565145E-2</v>
      </c>
      <c r="J356">
        <f t="shared" si="32"/>
        <v>1.4191713320027187E-2</v>
      </c>
      <c r="K356">
        <f t="shared" si="33"/>
        <v>-9.0838660765629536E-4</v>
      </c>
      <c r="L356">
        <f t="shared" si="34"/>
        <v>-2.6998666467555575E-3</v>
      </c>
      <c r="M356">
        <f t="shared" si="35"/>
        <v>1.2017294624220994E-3</v>
      </c>
    </row>
    <row r="357" spans="1:13" x14ac:dyDescent="0.2">
      <c r="A357" s="6">
        <v>45450</v>
      </c>
      <c r="B357" s="7">
        <v>120.94</v>
      </c>
      <c r="C357" s="7">
        <v>174.16</v>
      </c>
      <c r="D357" s="7">
        <v>502.1</v>
      </c>
      <c r="E357" s="7">
        <v>185</v>
      </c>
      <c r="F357" s="7">
        <v>65.87</v>
      </c>
      <c r="G357" s="7">
        <v>334.6</v>
      </c>
      <c r="H357">
        <f t="shared" si="30"/>
        <v>-6.5109225764381417E-3</v>
      </c>
      <c r="I357">
        <f t="shared" si="31"/>
        <v>-1.1815543149985975E-2</v>
      </c>
      <c r="J357">
        <f t="shared" si="32"/>
        <v>-4.8874593147358791E-3</v>
      </c>
      <c r="K357">
        <f t="shared" si="33"/>
        <v>-1.1073595928080113E-2</v>
      </c>
      <c r="L357">
        <f t="shared" si="34"/>
        <v>-1.0721129494277259E-2</v>
      </c>
      <c r="M357">
        <f t="shared" si="35"/>
        <v>-2.0060437783463222E-2</v>
      </c>
    </row>
    <row r="358" spans="1:13" x14ac:dyDescent="0.2">
      <c r="A358" s="6">
        <v>45449</v>
      </c>
      <c r="B358" s="7">
        <v>122.38</v>
      </c>
      <c r="C358" s="7">
        <v>176.77</v>
      </c>
      <c r="D358" s="7">
        <v>501.54</v>
      </c>
      <c r="E358" s="7">
        <v>181.28</v>
      </c>
      <c r="F358" s="7">
        <v>65.48</v>
      </c>
      <c r="G358" s="7">
        <v>335.6</v>
      </c>
      <c r="H358">
        <f t="shared" si="30"/>
        <v>1.1836403189327535E-2</v>
      </c>
      <c r="I358">
        <f t="shared" si="31"/>
        <v>1.4875035621499737E-2</v>
      </c>
      <c r="J358">
        <f t="shared" si="32"/>
        <v>-1.1159381015400139E-3</v>
      </c>
      <c r="K358">
        <f t="shared" si="33"/>
        <v>-2.0313027798628674E-2</v>
      </c>
      <c r="L358">
        <f t="shared" si="34"/>
        <v>-5.9383501496674323E-3</v>
      </c>
      <c r="M358">
        <f t="shared" si="35"/>
        <v>2.9841860403274512E-3</v>
      </c>
    </row>
    <row r="359" spans="1:13" x14ac:dyDescent="0.2">
      <c r="A359" s="6">
        <v>45448</v>
      </c>
      <c r="B359" s="7">
        <v>116.38</v>
      </c>
      <c r="C359" s="7">
        <v>175.61</v>
      </c>
      <c r="D359" s="7">
        <v>506.26</v>
      </c>
      <c r="E359" s="7">
        <v>179.34</v>
      </c>
      <c r="F359" s="7">
        <v>65.900000000000006</v>
      </c>
      <c r="G359" s="7">
        <v>331.99</v>
      </c>
      <c r="H359">
        <f t="shared" si="30"/>
        <v>-5.0270258805870605E-2</v>
      </c>
      <c r="I359">
        <f t="shared" si="31"/>
        <v>-6.5838253600284955E-3</v>
      </c>
      <c r="J359">
        <f t="shared" si="32"/>
        <v>9.3670063729592232E-3</v>
      </c>
      <c r="K359">
        <f t="shared" si="33"/>
        <v>-1.0759351755794662E-2</v>
      </c>
      <c r="L359">
        <f t="shared" si="34"/>
        <v>6.3936890055274033E-3</v>
      </c>
      <c r="M359">
        <f t="shared" si="35"/>
        <v>-1.0815126612121168E-2</v>
      </c>
    </row>
    <row r="360" spans="1:13" x14ac:dyDescent="0.2">
      <c r="A360" s="6">
        <v>45446</v>
      </c>
      <c r="B360" s="7">
        <v>109.58</v>
      </c>
      <c r="C360" s="7">
        <v>174.01</v>
      </c>
      <c r="D360" s="7">
        <v>500.05</v>
      </c>
      <c r="E360" s="7">
        <v>176.44</v>
      </c>
      <c r="F360" s="7">
        <v>65.06</v>
      </c>
      <c r="G360" s="7">
        <v>320.82</v>
      </c>
      <c r="H360">
        <f t="shared" si="30"/>
        <v>-6.0205823118254148E-2</v>
      </c>
      <c r="I360">
        <f t="shared" si="31"/>
        <v>-9.1528583602763572E-3</v>
      </c>
      <c r="J360">
        <f t="shared" si="32"/>
        <v>-1.2342277889553912E-2</v>
      </c>
      <c r="K360">
        <f t="shared" si="33"/>
        <v>-1.6302570287162529E-2</v>
      </c>
      <c r="L360">
        <f t="shared" si="34"/>
        <v>-1.2828520463256214E-2</v>
      </c>
      <c r="M360">
        <f t="shared" si="35"/>
        <v>-3.4224629792234847E-2</v>
      </c>
    </row>
    <row r="361" spans="1:13" x14ac:dyDescent="0.2">
      <c r="A361" s="6">
        <v>45443</v>
      </c>
      <c r="B361" s="7">
        <v>110.44</v>
      </c>
      <c r="C361" s="7">
        <v>173.26</v>
      </c>
      <c r="D361" s="7">
        <v>490.46</v>
      </c>
      <c r="E361" s="7">
        <v>179.32</v>
      </c>
      <c r="F361" s="7">
        <v>66.31</v>
      </c>
      <c r="G361" s="7">
        <v>315.49</v>
      </c>
      <c r="H361">
        <f t="shared" si="30"/>
        <v>7.8175109516841149E-3</v>
      </c>
      <c r="I361">
        <f t="shared" si="31"/>
        <v>-4.3194123654928147E-3</v>
      </c>
      <c r="J361">
        <f t="shared" si="32"/>
        <v>-1.9364367181791232E-2</v>
      </c>
      <c r="K361">
        <f t="shared" si="33"/>
        <v>1.6191044050499717E-2</v>
      </c>
      <c r="L361">
        <f t="shared" si="34"/>
        <v>1.9030794335570905E-2</v>
      </c>
      <c r="M361">
        <f t="shared" si="35"/>
        <v>-1.6753232430824948E-2</v>
      </c>
    </row>
    <row r="362" spans="1:13" x14ac:dyDescent="0.2">
      <c r="A362" s="6">
        <v>45442</v>
      </c>
      <c r="B362" s="7">
        <v>114.77</v>
      </c>
      <c r="C362" s="7">
        <v>175.52</v>
      </c>
      <c r="D362" s="7">
        <v>491.26</v>
      </c>
      <c r="E362" s="7">
        <v>182.02</v>
      </c>
      <c r="F362" s="7">
        <v>66.25</v>
      </c>
      <c r="G362" s="7">
        <v>319.41000000000003</v>
      </c>
      <c r="H362">
        <f t="shared" si="30"/>
        <v>3.8457738630623274E-2</v>
      </c>
      <c r="I362">
        <f t="shared" si="31"/>
        <v>1.2959640064926004E-2</v>
      </c>
      <c r="J362">
        <f t="shared" si="32"/>
        <v>1.6297929696486011E-3</v>
      </c>
      <c r="K362">
        <f t="shared" si="33"/>
        <v>1.4944651861970923E-2</v>
      </c>
      <c r="L362">
        <f t="shared" si="34"/>
        <v>-9.0525051444475114E-4</v>
      </c>
      <c r="M362">
        <f t="shared" si="35"/>
        <v>1.23485582367544E-2</v>
      </c>
    </row>
    <row r="363" spans="1:13" x14ac:dyDescent="0.2">
      <c r="A363" s="6">
        <v>45441</v>
      </c>
      <c r="B363" s="7">
        <v>113.84</v>
      </c>
      <c r="C363" s="7">
        <v>174.21</v>
      </c>
      <c r="D363" s="7">
        <v>492.55</v>
      </c>
      <c r="E363" s="7">
        <v>182.15</v>
      </c>
      <c r="F363" s="7">
        <v>65.77</v>
      </c>
      <c r="G363" s="7">
        <v>318.60000000000002</v>
      </c>
      <c r="H363">
        <f t="shared" si="30"/>
        <v>-8.136171910980013E-3</v>
      </c>
      <c r="I363">
        <f t="shared" si="31"/>
        <v>-7.4915284748519727E-3</v>
      </c>
      <c r="J363">
        <f t="shared" si="32"/>
        <v>2.6224590913058944E-3</v>
      </c>
      <c r="K363">
        <f t="shared" si="33"/>
        <v>7.1395230536305549E-4</v>
      </c>
      <c r="L363">
        <f t="shared" si="34"/>
        <v>-7.2716575530719701E-3</v>
      </c>
      <c r="M363">
        <f t="shared" si="35"/>
        <v>-2.5391465186762985E-3</v>
      </c>
    </row>
    <row r="364" spans="1:13" x14ac:dyDescent="0.2">
      <c r="A364" s="6">
        <v>45440</v>
      </c>
      <c r="B364" s="7">
        <v>106.41</v>
      </c>
      <c r="C364" s="7">
        <v>172.6</v>
      </c>
      <c r="D364" s="7">
        <v>474.57</v>
      </c>
      <c r="E364" s="7">
        <v>180.75</v>
      </c>
      <c r="F364" s="7">
        <v>65</v>
      </c>
      <c r="G364" s="7">
        <v>316.67</v>
      </c>
      <c r="H364">
        <f t="shared" si="30"/>
        <v>-6.7494396327956854E-2</v>
      </c>
      <c r="I364">
        <f t="shared" si="31"/>
        <v>-9.284689402740659E-3</v>
      </c>
      <c r="J364">
        <f t="shared" si="32"/>
        <v>-3.7186847423090419E-2</v>
      </c>
      <c r="K364">
        <f t="shared" si="33"/>
        <v>-7.7156624156987158E-3</v>
      </c>
      <c r="L364">
        <f t="shared" si="34"/>
        <v>-1.1776537417622445E-2</v>
      </c>
      <c r="M364">
        <f t="shared" si="35"/>
        <v>-6.0761752890831529E-3</v>
      </c>
    </row>
    <row r="365" spans="1:13" x14ac:dyDescent="0.2">
      <c r="A365" s="6">
        <v>45436</v>
      </c>
      <c r="B365" s="7">
        <v>103.75</v>
      </c>
      <c r="C365" s="7">
        <v>171.98</v>
      </c>
      <c r="D365" s="7">
        <v>475.07</v>
      </c>
      <c r="E365" s="7">
        <v>181.05</v>
      </c>
      <c r="F365" s="7">
        <v>64.94</v>
      </c>
      <c r="G365" s="7">
        <v>316.43</v>
      </c>
      <c r="H365">
        <f t="shared" si="30"/>
        <v>-2.531539834283246E-2</v>
      </c>
      <c r="I365">
        <f t="shared" si="31"/>
        <v>-3.5985876665771107E-3</v>
      </c>
      <c r="J365">
        <f t="shared" si="32"/>
        <v>1.0530307194369436E-3</v>
      </c>
      <c r="K365">
        <f t="shared" si="33"/>
        <v>1.6583751727761256E-3</v>
      </c>
      <c r="L365">
        <f t="shared" si="34"/>
        <v>-9.2350322093720841E-4</v>
      </c>
      <c r="M365">
        <f t="shared" si="35"/>
        <v>-7.5817410044717068E-4</v>
      </c>
    </row>
    <row r="366" spans="1:13" x14ac:dyDescent="0.2">
      <c r="A366" s="6">
        <v>45435</v>
      </c>
      <c r="B366" s="7">
        <v>94.9</v>
      </c>
      <c r="C366" s="7">
        <v>171.32</v>
      </c>
      <c r="D366" s="7">
        <v>464.46</v>
      </c>
      <c r="E366" s="7">
        <v>183.13</v>
      </c>
      <c r="F366" s="7">
        <v>64.08</v>
      </c>
      <c r="G366" s="7">
        <v>323.05</v>
      </c>
      <c r="H366">
        <f t="shared" si="30"/>
        <v>-8.9160453494925435E-2</v>
      </c>
      <c r="I366">
        <f t="shared" si="31"/>
        <v>-3.8450382355801798E-3</v>
      </c>
      <c r="J366">
        <f t="shared" si="32"/>
        <v>-2.2586721153357785E-2</v>
      </c>
      <c r="K366">
        <f t="shared" si="33"/>
        <v>1.1423046941206902E-2</v>
      </c>
      <c r="L366">
        <f t="shared" si="34"/>
        <v>-1.3331463914596059E-2</v>
      </c>
      <c r="M366">
        <f t="shared" si="35"/>
        <v>2.0705061917756614E-2</v>
      </c>
    </row>
    <row r="367" spans="1:13" x14ac:dyDescent="0.2">
      <c r="A367" s="6">
        <v>45433</v>
      </c>
      <c r="B367" s="7">
        <v>94.73</v>
      </c>
      <c r="C367" s="7">
        <v>174.7</v>
      </c>
      <c r="D367" s="7">
        <v>471.95</v>
      </c>
      <c r="E367" s="7">
        <v>183.54</v>
      </c>
      <c r="F367" s="7">
        <v>64.23</v>
      </c>
      <c r="G367" s="7">
        <v>317.56</v>
      </c>
      <c r="H367">
        <f t="shared" si="30"/>
        <v>-1.7929657284390954E-3</v>
      </c>
      <c r="I367">
        <f t="shared" si="31"/>
        <v>1.9537064392840611E-2</v>
      </c>
      <c r="J367">
        <f t="shared" si="32"/>
        <v>1.5997607326276454E-2</v>
      </c>
      <c r="K367">
        <f t="shared" si="33"/>
        <v>2.2363442380098769E-3</v>
      </c>
      <c r="L367">
        <f t="shared" si="34"/>
        <v>2.3380885095974275E-3</v>
      </c>
      <c r="M367">
        <f t="shared" si="35"/>
        <v>-1.7140333147261849E-2</v>
      </c>
    </row>
    <row r="368" spans="1:13" x14ac:dyDescent="0.2">
      <c r="A368" s="6">
        <v>45432</v>
      </c>
      <c r="B368" s="7">
        <v>92.43</v>
      </c>
      <c r="C368" s="7">
        <v>175.19</v>
      </c>
      <c r="D368" s="7">
        <v>477.49</v>
      </c>
      <c r="E368" s="7">
        <v>184.7</v>
      </c>
      <c r="F368" s="7">
        <v>64.56</v>
      </c>
      <c r="G368" s="7">
        <v>312.24</v>
      </c>
      <c r="H368">
        <f t="shared" si="30"/>
        <v>-2.4579138610756803E-2</v>
      </c>
      <c r="I368">
        <f t="shared" si="31"/>
        <v>2.8008821077198823E-3</v>
      </c>
      <c r="J368">
        <f t="shared" si="32"/>
        <v>1.1670169522159298E-2</v>
      </c>
      <c r="K368">
        <f t="shared" si="33"/>
        <v>6.3002598143272314E-3</v>
      </c>
      <c r="L368">
        <f t="shared" si="34"/>
        <v>5.1246326919922713E-3</v>
      </c>
      <c r="M368">
        <f t="shared" si="35"/>
        <v>-1.6894653984553098E-2</v>
      </c>
    </row>
    <row r="369" spans="1:13" x14ac:dyDescent="0.2">
      <c r="A369" s="6">
        <v>45429</v>
      </c>
      <c r="B369" s="7">
        <v>94.31</v>
      </c>
      <c r="C369" s="7">
        <v>173.79</v>
      </c>
      <c r="D369" s="7">
        <v>475.79</v>
      </c>
      <c r="E369" s="7">
        <v>183.63</v>
      </c>
      <c r="F369" s="7">
        <v>64.03</v>
      </c>
      <c r="G369" s="7">
        <v>314.91000000000003</v>
      </c>
      <c r="H369">
        <f t="shared" si="30"/>
        <v>2.0135627279107105E-2</v>
      </c>
      <c r="I369">
        <f t="shared" si="31"/>
        <v>-8.0234254710882125E-3</v>
      </c>
      <c r="J369">
        <f t="shared" si="32"/>
        <v>-3.5666368792524562E-3</v>
      </c>
      <c r="K369">
        <f t="shared" si="33"/>
        <v>-5.8100236741060697E-3</v>
      </c>
      <c r="L369">
        <f t="shared" si="34"/>
        <v>-8.2433004309825069E-3</v>
      </c>
      <c r="M369">
        <f t="shared" si="35"/>
        <v>8.5147608434565526E-3</v>
      </c>
    </row>
    <row r="370" spans="1:13" x14ac:dyDescent="0.2">
      <c r="A370" s="6">
        <v>45428</v>
      </c>
      <c r="B370" s="7">
        <v>94.58</v>
      </c>
      <c r="C370" s="7">
        <v>172.36</v>
      </c>
      <c r="D370" s="7">
        <v>463.42</v>
      </c>
      <c r="E370" s="7">
        <v>185.99</v>
      </c>
      <c r="F370" s="7">
        <v>64.44</v>
      </c>
      <c r="G370" s="7">
        <v>311.45999999999998</v>
      </c>
      <c r="H370">
        <f t="shared" si="30"/>
        <v>2.8588086599362545E-3</v>
      </c>
      <c r="I370">
        <f t="shared" si="31"/>
        <v>-8.2623610290050772E-3</v>
      </c>
      <c r="J370">
        <f t="shared" si="32"/>
        <v>-2.6342810089257557E-2</v>
      </c>
      <c r="K370">
        <f t="shared" si="33"/>
        <v>1.2770045295947266E-2</v>
      </c>
      <c r="L370">
        <f t="shared" si="34"/>
        <v>6.382834778062783E-3</v>
      </c>
      <c r="M370">
        <f t="shared" si="35"/>
        <v>-1.1015964648623516E-2</v>
      </c>
    </row>
    <row r="371" spans="1:13" x14ac:dyDescent="0.2">
      <c r="A371" s="6">
        <v>45427</v>
      </c>
      <c r="B371" s="7">
        <v>91.31</v>
      </c>
      <c r="C371" s="7">
        <v>175.17</v>
      </c>
      <c r="D371" s="7">
        <v>465.41</v>
      </c>
      <c r="E371" s="7">
        <v>187.07</v>
      </c>
      <c r="F371" s="7">
        <v>64.34</v>
      </c>
      <c r="G371" s="7">
        <v>313.18</v>
      </c>
      <c r="H371">
        <f t="shared" si="30"/>
        <v>-3.5185726587480995E-2</v>
      </c>
      <c r="I371">
        <f t="shared" si="31"/>
        <v>1.6171618215918629E-2</v>
      </c>
      <c r="J371">
        <f t="shared" si="32"/>
        <v>4.284967205743946E-3</v>
      </c>
      <c r="K371">
        <f t="shared" si="33"/>
        <v>5.7899695337777458E-3</v>
      </c>
      <c r="L371">
        <f t="shared" si="34"/>
        <v>-1.553036497893256E-3</v>
      </c>
      <c r="M371">
        <f t="shared" si="35"/>
        <v>5.5071860501042036E-3</v>
      </c>
    </row>
    <row r="372" spans="1:13" x14ac:dyDescent="0.2">
      <c r="A372" s="6">
        <v>45426</v>
      </c>
      <c r="B372" s="7">
        <v>90.35</v>
      </c>
      <c r="C372" s="7">
        <v>176.63</v>
      </c>
      <c r="D372" s="7">
        <v>462.27</v>
      </c>
      <c r="E372" s="7">
        <v>186.57</v>
      </c>
      <c r="F372" s="7">
        <v>63.38</v>
      </c>
      <c r="G372" s="7">
        <v>316.72000000000003</v>
      </c>
      <c r="H372">
        <f t="shared" si="30"/>
        <v>-1.0569293590011306E-2</v>
      </c>
      <c r="I372">
        <f t="shared" si="31"/>
        <v>8.3002182037962627E-3</v>
      </c>
      <c r="J372">
        <f t="shared" si="32"/>
        <v>-6.7696015684750145E-3</v>
      </c>
      <c r="K372">
        <f t="shared" si="33"/>
        <v>-2.6763745769055962E-3</v>
      </c>
      <c r="L372">
        <f t="shared" si="34"/>
        <v>-1.5033167548105627E-2</v>
      </c>
      <c r="M372">
        <f t="shared" si="35"/>
        <v>1.1239997680578356E-2</v>
      </c>
    </row>
    <row r="373" spans="1:13" x14ac:dyDescent="0.2">
      <c r="A373" s="6">
        <v>45425</v>
      </c>
      <c r="B373" s="7">
        <v>89.83</v>
      </c>
      <c r="C373" s="7">
        <v>175.71</v>
      </c>
      <c r="D373" s="7">
        <v>466.46</v>
      </c>
      <c r="E373" s="7">
        <v>187.48</v>
      </c>
      <c r="F373" s="7">
        <v>63.84</v>
      </c>
      <c r="G373" s="7">
        <v>322.05</v>
      </c>
      <c r="H373">
        <f t="shared" si="30"/>
        <v>-5.7720217971221769E-3</v>
      </c>
      <c r="I373">
        <f t="shared" si="31"/>
        <v>-5.2222403975514531E-3</v>
      </c>
      <c r="J373">
        <f t="shared" si="32"/>
        <v>9.0231357403259861E-3</v>
      </c>
      <c r="K373">
        <f t="shared" si="33"/>
        <v>4.8656692705978145E-3</v>
      </c>
      <c r="L373">
        <f t="shared" si="34"/>
        <v>7.2315988787787491E-3</v>
      </c>
      <c r="M373">
        <f t="shared" si="35"/>
        <v>1.668871019502445E-2</v>
      </c>
    </row>
    <row r="374" spans="1:13" x14ac:dyDescent="0.2">
      <c r="A374" s="6">
        <v>45422</v>
      </c>
      <c r="B374" s="7">
        <v>88.7</v>
      </c>
      <c r="C374" s="7">
        <v>174.85</v>
      </c>
      <c r="D374" s="7">
        <v>469.52</v>
      </c>
      <c r="E374" s="7">
        <v>189.5</v>
      </c>
      <c r="F374" s="7">
        <v>63.21</v>
      </c>
      <c r="G374" s="7">
        <v>323.64999999999998</v>
      </c>
      <c r="H374">
        <f t="shared" si="30"/>
        <v>-1.2659105925581442E-2</v>
      </c>
      <c r="I374">
        <f t="shared" si="31"/>
        <v>-4.9064452604158683E-3</v>
      </c>
      <c r="J374">
        <f t="shared" si="32"/>
        <v>6.53862454788151E-3</v>
      </c>
      <c r="K374">
        <f t="shared" si="33"/>
        <v>1.0716851467975725E-2</v>
      </c>
      <c r="L374">
        <f t="shared" si="34"/>
        <v>-9.9174366573460283E-3</v>
      </c>
      <c r="M374">
        <f t="shared" si="35"/>
        <v>4.9558719986192695E-3</v>
      </c>
    </row>
    <row r="375" spans="1:13" x14ac:dyDescent="0.2">
      <c r="A375" s="6">
        <v>45421</v>
      </c>
      <c r="B375" s="7">
        <v>90.37</v>
      </c>
      <c r="C375" s="7">
        <v>172.99</v>
      </c>
      <c r="D375" s="7">
        <v>470.83</v>
      </c>
      <c r="E375" s="7">
        <v>188</v>
      </c>
      <c r="F375" s="7">
        <v>59.08</v>
      </c>
      <c r="G375" s="7">
        <v>329.77</v>
      </c>
      <c r="H375">
        <f t="shared" si="30"/>
        <v>1.8652464598330639E-2</v>
      </c>
      <c r="I375">
        <f t="shared" si="31"/>
        <v>-1.0694674150498759E-2</v>
      </c>
      <c r="J375">
        <f t="shared" si="32"/>
        <v>2.786198431328676E-3</v>
      </c>
      <c r="K375">
        <f t="shared" si="33"/>
        <v>-7.947061692531834E-3</v>
      </c>
      <c r="L375">
        <f t="shared" si="34"/>
        <v>-6.7570058821028331E-2</v>
      </c>
      <c r="M375">
        <f t="shared" si="35"/>
        <v>1.8732756775743813E-2</v>
      </c>
    </row>
    <row r="376" spans="1:13" x14ac:dyDescent="0.2">
      <c r="A376" s="6">
        <v>45420</v>
      </c>
      <c r="B376" s="7">
        <v>90.51</v>
      </c>
      <c r="C376" s="7">
        <v>171.33</v>
      </c>
      <c r="D376" s="7">
        <v>479.1</v>
      </c>
      <c r="E376" s="7">
        <v>188.76</v>
      </c>
      <c r="F376" s="7">
        <v>59.11</v>
      </c>
      <c r="G376" s="7">
        <v>328.35</v>
      </c>
      <c r="H376">
        <f t="shared" si="30"/>
        <v>1.5479879252149533E-3</v>
      </c>
      <c r="I376">
        <f t="shared" si="31"/>
        <v>-9.6422680140047113E-3</v>
      </c>
      <c r="J376">
        <f t="shared" si="32"/>
        <v>1.741224920766871E-2</v>
      </c>
      <c r="K376">
        <f t="shared" si="33"/>
        <v>4.0344040282375834E-3</v>
      </c>
      <c r="L376">
        <f t="shared" si="34"/>
        <v>5.0765717309908661E-4</v>
      </c>
      <c r="M376">
        <f t="shared" si="35"/>
        <v>-4.3153291302812508E-3</v>
      </c>
    </row>
    <row r="377" spans="1:13" x14ac:dyDescent="0.2">
      <c r="A377" s="6">
        <v>45419</v>
      </c>
      <c r="B377" s="7">
        <v>92.09</v>
      </c>
      <c r="C377" s="7">
        <v>169.17</v>
      </c>
      <c r="D377" s="7">
        <v>469.46</v>
      </c>
      <c r="E377" s="7">
        <v>188.7</v>
      </c>
      <c r="F377" s="7">
        <v>59.66</v>
      </c>
      <c r="G377" s="7">
        <v>334.04</v>
      </c>
      <c r="H377">
        <f t="shared" si="30"/>
        <v>1.7306017894196168E-2</v>
      </c>
      <c r="I377">
        <f t="shared" si="31"/>
        <v>-1.2687394857680983E-2</v>
      </c>
      <c r="J377">
        <f t="shared" si="32"/>
        <v>-2.0326245888335405E-2</v>
      </c>
      <c r="K377">
        <f t="shared" si="33"/>
        <v>-3.1791448368225894E-4</v>
      </c>
      <c r="L377">
        <f t="shared" si="34"/>
        <v>9.2616642503241999E-3</v>
      </c>
      <c r="M377">
        <f t="shared" si="35"/>
        <v>1.7180633648046967E-2</v>
      </c>
    </row>
    <row r="378" spans="1:13" x14ac:dyDescent="0.2">
      <c r="A378" s="6">
        <v>45418</v>
      </c>
      <c r="B378" s="7">
        <v>88.74</v>
      </c>
      <c r="C378" s="7">
        <v>167.98</v>
      </c>
      <c r="D378" s="7">
        <v>465.64</v>
      </c>
      <c r="E378" s="7">
        <v>186.21</v>
      </c>
      <c r="F378" s="7">
        <v>59.73</v>
      </c>
      <c r="G378" s="7">
        <v>326.20999999999998</v>
      </c>
      <c r="H378">
        <f t="shared" si="30"/>
        <v>-3.7055613782512278E-2</v>
      </c>
      <c r="I378">
        <f t="shared" si="31"/>
        <v>-7.0592017897193448E-3</v>
      </c>
      <c r="J378">
        <f t="shared" si="32"/>
        <v>-8.1702946207009332E-3</v>
      </c>
      <c r="K378">
        <f t="shared" si="33"/>
        <v>-1.3283383280833436E-2</v>
      </c>
      <c r="L378">
        <f t="shared" si="34"/>
        <v>1.172627657612056E-3</v>
      </c>
      <c r="M378">
        <f t="shared" si="35"/>
        <v>-2.371940052876232E-2</v>
      </c>
    </row>
    <row r="379" spans="1:13" x14ac:dyDescent="0.2">
      <c r="A379" s="6">
        <v>45414</v>
      </c>
      <c r="B379" s="7">
        <v>83</v>
      </c>
      <c r="C379" s="7">
        <v>168.8</v>
      </c>
      <c r="D379" s="7">
        <v>473.01</v>
      </c>
      <c r="E379" s="7">
        <v>179</v>
      </c>
      <c r="F379" s="7">
        <v>59.69</v>
      </c>
      <c r="G379" s="7">
        <v>331.9</v>
      </c>
      <c r="H379">
        <f t="shared" si="30"/>
        <v>-6.6870138154165398E-2</v>
      </c>
      <c r="I379">
        <f t="shared" si="31"/>
        <v>4.8696574643758601E-3</v>
      </c>
      <c r="J379">
        <f t="shared" si="32"/>
        <v>1.5703726537459953E-2</v>
      </c>
      <c r="K379">
        <f t="shared" si="33"/>
        <v>-3.9489263252916067E-2</v>
      </c>
      <c r="L379">
        <f t="shared" si="34"/>
        <v>-6.6990456365616116E-4</v>
      </c>
      <c r="M379">
        <f t="shared" si="35"/>
        <v>1.7292372969662555E-2</v>
      </c>
    </row>
    <row r="380" spans="1:13" x14ac:dyDescent="0.2">
      <c r="A380" s="6">
        <v>45413</v>
      </c>
      <c r="B380" s="7">
        <v>86.36</v>
      </c>
      <c r="C380" s="7">
        <v>168.22</v>
      </c>
      <c r="D380" s="7">
        <v>470.2</v>
      </c>
      <c r="E380" s="7">
        <v>175</v>
      </c>
      <c r="F380" s="7">
        <v>59.34</v>
      </c>
      <c r="G380" s="7">
        <v>332.86</v>
      </c>
      <c r="H380">
        <f t="shared" si="30"/>
        <v>3.968399785000877E-2</v>
      </c>
      <c r="I380">
        <f t="shared" si="31"/>
        <v>-3.4419356275655474E-3</v>
      </c>
      <c r="J380">
        <f t="shared" si="32"/>
        <v>-5.9583938115309433E-3</v>
      </c>
      <c r="K380">
        <f t="shared" si="33"/>
        <v>-2.2599831917240919E-2</v>
      </c>
      <c r="L380">
        <f t="shared" si="34"/>
        <v>-5.8808873178826182E-3</v>
      </c>
      <c r="M380">
        <f t="shared" si="35"/>
        <v>2.8882624326516341E-3</v>
      </c>
    </row>
    <row r="381" spans="1:13" x14ac:dyDescent="0.2">
      <c r="A381" s="6">
        <v>45412</v>
      </c>
      <c r="B381" s="7">
        <v>87.71</v>
      </c>
      <c r="C381" s="7">
        <v>170.08</v>
      </c>
      <c r="D381" s="7">
        <v>465.86</v>
      </c>
      <c r="E381" s="7">
        <v>180.96</v>
      </c>
      <c r="F381" s="7">
        <v>59.66</v>
      </c>
      <c r="G381" s="7">
        <v>324.61</v>
      </c>
      <c r="H381">
        <f t="shared" si="30"/>
        <v>1.5511312316683555E-2</v>
      </c>
      <c r="I381">
        <f t="shared" si="31"/>
        <v>1.0996268059346637E-2</v>
      </c>
      <c r="J381">
        <f t="shared" si="32"/>
        <v>-9.2729763027607787E-3</v>
      </c>
      <c r="K381">
        <f t="shared" si="33"/>
        <v>3.3490038444296419E-2</v>
      </c>
      <c r="L381">
        <f t="shared" si="34"/>
        <v>5.3781642239266641E-3</v>
      </c>
      <c r="M381">
        <f t="shared" si="35"/>
        <v>-2.5097519405361819E-2</v>
      </c>
    </row>
    <row r="382" spans="1:13" x14ac:dyDescent="0.2">
      <c r="A382" s="6">
        <v>45411</v>
      </c>
      <c r="B382" s="7">
        <v>87.69</v>
      </c>
      <c r="C382" s="7">
        <v>166.95</v>
      </c>
      <c r="D382" s="7">
        <v>463.32</v>
      </c>
      <c r="E382" s="7">
        <v>179.62</v>
      </c>
      <c r="F382" s="7">
        <v>58.92</v>
      </c>
      <c r="G382" s="7">
        <v>326.39999999999998</v>
      </c>
      <c r="H382">
        <f t="shared" si="30"/>
        <v>-2.2805017202589915E-4</v>
      </c>
      <c r="I382">
        <f t="shared" si="31"/>
        <v>-1.857454820397442E-2</v>
      </c>
      <c r="J382">
        <f t="shared" si="32"/>
        <v>-5.4671997390630372E-3</v>
      </c>
      <c r="K382">
        <f t="shared" si="33"/>
        <v>-7.4325041250066313E-3</v>
      </c>
      <c r="L382">
        <f t="shared" si="34"/>
        <v>-1.2481187492172899E-2</v>
      </c>
      <c r="M382">
        <f t="shared" si="35"/>
        <v>5.4991613367332279E-3</v>
      </c>
    </row>
    <row r="383" spans="1:13" x14ac:dyDescent="0.2">
      <c r="A383" s="6">
        <v>45408</v>
      </c>
      <c r="B383" s="7">
        <v>82.59</v>
      </c>
      <c r="C383" s="7">
        <v>166.09</v>
      </c>
      <c r="D383" s="7">
        <v>449.67</v>
      </c>
      <c r="E383" s="7">
        <v>173.67</v>
      </c>
      <c r="F383" s="7">
        <v>58.87</v>
      </c>
      <c r="G383" s="7">
        <v>327.93</v>
      </c>
      <c r="H383">
        <f t="shared" si="30"/>
        <v>-5.9919259968638526E-2</v>
      </c>
      <c r="I383">
        <f t="shared" si="31"/>
        <v>-5.164556278756032E-3</v>
      </c>
      <c r="J383">
        <f t="shared" si="32"/>
        <v>-2.990397965353116E-2</v>
      </c>
      <c r="K383">
        <f t="shared" si="33"/>
        <v>-3.3686561483780887E-2</v>
      </c>
      <c r="L383">
        <f t="shared" si="34"/>
        <v>-8.4896855425964487E-4</v>
      </c>
      <c r="M383">
        <f t="shared" si="35"/>
        <v>4.6765478839020233E-3</v>
      </c>
    </row>
    <row r="384" spans="1:13" x14ac:dyDescent="0.2">
      <c r="A384" s="6">
        <v>45407</v>
      </c>
      <c r="B384" s="7">
        <v>79.64</v>
      </c>
      <c r="C384" s="7">
        <v>165.48</v>
      </c>
      <c r="D384" s="7">
        <v>439.44</v>
      </c>
      <c r="E384" s="7">
        <v>176.59</v>
      </c>
      <c r="F384" s="7">
        <v>58.76</v>
      </c>
      <c r="G384" s="7">
        <v>328.47</v>
      </c>
      <c r="H384">
        <f t="shared" si="30"/>
        <v>-3.6372128626630092E-2</v>
      </c>
      <c r="I384">
        <f t="shared" si="31"/>
        <v>-3.6794685176968268E-3</v>
      </c>
      <c r="J384">
        <f t="shared" si="32"/>
        <v>-2.301279137624913E-2</v>
      </c>
      <c r="K384">
        <f t="shared" si="33"/>
        <v>1.6673714666010041E-2</v>
      </c>
      <c r="L384">
        <f t="shared" si="34"/>
        <v>-1.8702717344934682E-3</v>
      </c>
      <c r="M384">
        <f t="shared" si="35"/>
        <v>1.6453385795895169E-3</v>
      </c>
    </row>
    <row r="385" spans="1:13" x14ac:dyDescent="0.2">
      <c r="A385" s="6">
        <v>45406</v>
      </c>
      <c r="B385" s="7">
        <v>82.38</v>
      </c>
      <c r="C385" s="7">
        <v>162.74</v>
      </c>
      <c r="D385" s="7">
        <v>436.96</v>
      </c>
      <c r="E385" s="7">
        <v>179.54</v>
      </c>
      <c r="F385" s="7">
        <v>57.92</v>
      </c>
      <c r="G385" s="7">
        <v>321.45</v>
      </c>
      <c r="H385">
        <f t="shared" si="30"/>
        <v>3.382620981193913E-2</v>
      </c>
      <c r="I385">
        <f t="shared" si="31"/>
        <v>-1.6696506324699472E-2</v>
      </c>
      <c r="J385">
        <f t="shared" si="32"/>
        <v>-5.6595313089701496E-3</v>
      </c>
      <c r="K385">
        <f t="shared" si="33"/>
        <v>1.6567362903509464E-2</v>
      </c>
      <c r="L385">
        <f t="shared" si="34"/>
        <v>-1.4398603228215548E-2</v>
      </c>
      <c r="M385">
        <f t="shared" si="35"/>
        <v>-2.1603498965747661E-2</v>
      </c>
    </row>
    <row r="386" spans="1:13" x14ac:dyDescent="0.2">
      <c r="A386" s="6">
        <v>45405</v>
      </c>
      <c r="B386" s="7">
        <v>79.48</v>
      </c>
      <c r="C386" s="7">
        <v>161.66</v>
      </c>
      <c r="D386" s="7">
        <v>427.99</v>
      </c>
      <c r="E386" s="7">
        <v>177.23</v>
      </c>
      <c r="F386" s="7">
        <v>58.41</v>
      </c>
      <c r="G386" s="7">
        <v>318.04000000000002</v>
      </c>
      <c r="H386">
        <f t="shared" si="30"/>
        <v>-3.5837271324318437E-2</v>
      </c>
      <c r="I386">
        <f t="shared" si="31"/>
        <v>-6.6584709628129497E-3</v>
      </c>
      <c r="J386">
        <f t="shared" si="32"/>
        <v>-2.0741826902533175E-2</v>
      </c>
      <c r="K386">
        <f t="shared" si="33"/>
        <v>-1.2949700261494144E-2</v>
      </c>
      <c r="L386">
        <f t="shared" si="34"/>
        <v>8.4243599747569897E-3</v>
      </c>
      <c r="M386">
        <f t="shared" si="35"/>
        <v>-1.0664849554412908E-2</v>
      </c>
    </row>
    <row r="387" spans="1:13" x14ac:dyDescent="0.2">
      <c r="A387" s="6">
        <v>45404</v>
      </c>
      <c r="B387" s="7">
        <v>76.16</v>
      </c>
      <c r="C387" s="7">
        <v>165.01</v>
      </c>
      <c r="D387" s="7">
        <v>430.43</v>
      </c>
      <c r="E387" s="7">
        <v>174.63</v>
      </c>
      <c r="F387" s="7">
        <v>59.28</v>
      </c>
      <c r="G387" s="7">
        <v>320.2</v>
      </c>
      <c r="H387">
        <f t="shared" si="30"/>
        <v>-4.2669027200506283E-2</v>
      </c>
      <c r="I387">
        <f t="shared" si="31"/>
        <v>2.0510713819015262E-2</v>
      </c>
      <c r="J387">
        <f t="shared" si="32"/>
        <v>5.6848781978300466E-3</v>
      </c>
      <c r="K387">
        <f t="shared" si="33"/>
        <v>-1.4778874115294501E-2</v>
      </c>
      <c r="L387">
        <f t="shared" si="34"/>
        <v>1.4784872935613492E-2</v>
      </c>
      <c r="M387">
        <f t="shared" si="35"/>
        <v>6.7686395293313894E-3</v>
      </c>
    </row>
    <row r="388" spans="1:13" x14ac:dyDescent="0.2">
      <c r="A388" s="6">
        <v>45401</v>
      </c>
      <c r="B388" s="7">
        <v>84.63</v>
      </c>
      <c r="C388" s="7">
        <v>170.77</v>
      </c>
      <c r="D388" s="7">
        <v>441.04</v>
      </c>
      <c r="E388" s="7">
        <v>179.22</v>
      </c>
      <c r="F388" s="7">
        <v>59.2</v>
      </c>
      <c r="G388" s="7">
        <v>322.67</v>
      </c>
      <c r="H388">
        <f t="shared" ref="H388:H451" si="36">LN(B388/B387)</f>
        <v>0.10545242319890463</v>
      </c>
      <c r="I388">
        <f t="shared" ref="I388:I451" si="37">LN(C388/C387)</f>
        <v>3.4311543774434211E-2</v>
      </c>
      <c r="J388">
        <f t="shared" ref="J388:J451" si="38">LN(D388/D387)</f>
        <v>2.4350865260736536E-2</v>
      </c>
      <c r="K388">
        <f t="shared" ref="K388:K451" si="39">LN(E388/E387)</f>
        <v>2.5944651504319606E-2</v>
      </c>
      <c r="L388">
        <f t="shared" ref="L388:L451" si="40">LN(F388/F387)</f>
        <v>-1.3504390978714624E-3</v>
      </c>
      <c r="M388">
        <f t="shared" ref="M388:M451" si="41">LN(G388/G387)</f>
        <v>7.6843285710055257E-3</v>
      </c>
    </row>
    <row r="389" spans="1:13" x14ac:dyDescent="0.2">
      <c r="A389" s="6">
        <v>45400</v>
      </c>
      <c r="B389" s="7">
        <v>83.99</v>
      </c>
      <c r="C389" s="7">
        <v>154.93</v>
      </c>
      <c r="D389" s="7">
        <v>439.14</v>
      </c>
      <c r="E389" s="7">
        <v>181.28</v>
      </c>
      <c r="F389" s="7">
        <v>59.25</v>
      </c>
      <c r="G389" s="7">
        <v>321.02999999999997</v>
      </c>
      <c r="H389">
        <f t="shared" si="36"/>
        <v>-7.5910695444789148E-3</v>
      </c>
      <c r="I389">
        <f t="shared" si="37"/>
        <v>-9.7344219890947242E-2</v>
      </c>
      <c r="J389">
        <f t="shared" si="38"/>
        <v>-4.3173054402374208E-3</v>
      </c>
      <c r="K389">
        <f t="shared" si="39"/>
        <v>1.142869582362285E-2</v>
      </c>
      <c r="L389">
        <f t="shared" si="40"/>
        <v>8.4423812528049082E-4</v>
      </c>
      <c r="M389">
        <f t="shared" si="41"/>
        <v>-5.0955524266002809E-3</v>
      </c>
    </row>
    <row r="390" spans="1:13" x14ac:dyDescent="0.2">
      <c r="A390" s="6">
        <v>45399</v>
      </c>
      <c r="B390" s="7">
        <v>87.37</v>
      </c>
      <c r="C390" s="7">
        <v>158.04</v>
      </c>
      <c r="D390" s="7">
        <v>491</v>
      </c>
      <c r="E390" s="7">
        <v>183.32</v>
      </c>
      <c r="F390" s="7">
        <v>58.92</v>
      </c>
      <c r="G390" s="7">
        <v>318.05</v>
      </c>
      <c r="H390">
        <f t="shared" si="36"/>
        <v>3.9454230172467526E-2</v>
      </c>
      <c r="I390">
        <f t="shared" si="37"/>
        <v>1.987476353498947E-2</v>
      </c>
      <c r="J390">
        <f t="shared" si="38"/>
        <v>0.11162585895332994</v>
      </c>
      <c r="K390">
        <f t="shared" si="39"/>
        <v>1.1190462361227128E-2</v>
      </c>
      <c r="L390">
        <f t="shared" si="40"/>
        <v>-5.5851884208110306E-3</v>
      </c>
      <c r="M390">
        <f t="shared" si="41"/>
        <v>-9.3259735822061648E-3</v>
      </c>
    </row>
    <row r="391" spans="1:13" x14ac:dyDescent="0.2">
      <c r="A391" s="6">
        <v>45398</v>
      </c>
      <c r="B391" s="7">
        <v>85.96</v>
      </c>
      <c r="C391" s="7">
        <v>157.18</v>
      </c>
      <c r="D391" s="7">
        <v>493.58</v>
      </c>
      <c r="E391" s="7">
        <v>183.62</v>
      </c>
      <c r="F391" s="7">
        <v>58.15</v>
      </c>
      <c r="G391" s="7">
        <v>319.04000000000002</v>
      </c>
      <c r="H391">
        <f t="shared" si="36"/>
        <v>-1.6269902535693621E-2</v>
      </c>
      <c r="I391">
        <f t="shared" si="37"/>
        <v>-5.456520105160967E-3</v>
      </c>
      <c r="J391">
        <f t="shared" si="38"/>
        <v>5.2408253371814643E-3</v>
      </c>
      <c r="K391">
        <f t="shared" si="39"/>
        <v>1.6351450746307356E-3</v>
      </c>
      <c r="L391">
        <f t="shared" si="40"/>
        <v>-1.3154712629756178E-2</v>
      </c>
      <c r="M391">
        <f t="shared" si="41"/>
        <v>3.1078836486602914E-3</v>
      </c>
    </row>
    <row r="392" spans="1:13" x14ac:dyDescent="0.2">
      <c r="A392" s="6">
        <v>45397</v>
      </c>
      <c r="B392" s="7">
        <v>88.14</v>
      </c>
      <c r="C392" s="7">
        <v>155.21</v>
      </c>
      <c r="D392" s="7">
        <v>479.29</v>
      </c>
      <c r="E392" s="7">
        <v>186.13</v>
      </c>
      <c r="F392" s="7">
        <v>59.19</v>
      </c>
      <c r="G392" s="7">
        <v>324.77999999999997</v>
      </c>
      <c r="H392">
        <f t="shared" si="36"/>
        <v>2.504438763953127E-2</v>
      </c>
      <c r="I392">
        <f t="shared" si="37"/>
        <v>-1.2612606774935692E-2</v>
      </c>
      <c r="J392">
        <f t="shared" si="38"/>
        <v>-2.9379110943417143E-2</v>
      </c>
      <c r="K392">
        <f t="shared" si="39"/>
        <v>1.3576949594687714E-2</v>
      </c>
      <c r="L392">
        <f t="shared" si="40"/>
        <v>1.7726729737960207E-2</v>
      </c>
      <c r="M392">
        <f t="shared" si="41"/>
        <v>1.783154326346786E-2</v>
      </c>
    </row>
    <row r="393" spans="1:13" x14ac:dyDescent="0.2">
      <c r="A393" s="6">
        <v>45394</v>
      </c>
      <c r="B393" s="7">
        <v>90.57</v>
      </c>
      <c r="C393" s="7">
        <v>153.03</v>
      </c>
      <c r="D393" s="7">
        <v>478.63</v>
      </c>
      <c r="E393" s="7">
        <v>189.05</v>
      </c>
      <c r="F393" s="7">
        <v>58.58</v>
      </c>
      <c r="G393" s="7">
        <v>322.01</v>
      </c>
      <c r="H393">
        <f t="shared" si="36"/>
        <v>2.7196572973016021E-2</v>
      </c>
      <c r="I393">
        <f t="shared" si="37"/>
        <v>-1.4145058060148298E-2</v>
      </c>
      <c r="J393">
        <f t="shared" si="38"/>
        <v>-1.3779858535921143E-3</v>
      </c>
      <c r="K393">
        <f t="shared" si="39"/>
        <v>1.5566176026700244E-2</v>
      </c>
      <c r="L393">
        <f t="shared" si="40"/>
        <v>-1.0359267303046286E-2</v>
      </c>
      <c r="M393">
        <f t="shared" si="41"/>
        <v>-8.5654290741365713E-3</v>
      </c>
    </row>
    <row r="394" spans="1:13" x14ac:dyDescent="0.2">
      <c r="A394" s="6">
        <v>45393</v>
      </c>
      <c r="B394" s="7">
        <v>86.99</v>
      </c>
      <c r="C394" s="7">
        <v>154.94</v>
      </c>
      <c r="D394" s="7">
        <v>499.25</v>
      </c>
      <c r="E394" s="7">
        <v>185.95</v>
      </c>
      <c r="F394" s="7">
        <v>58.32</v>
      </c>
      <c r="G394" s="7">
        <v>321.29000000000002</v>
      </c>
      <c r="H394">
        <f t="shared" si="36"/>
        <v>-4.0329862867407695E-2</v>
      </c>
      <c r="I394">
        <f t="shared" si="37"/>
        <v>1.2403964600811531E-2</v>
      </c>
      <c r="J394">
        <f t="shared" si="38"/>
        <v>4.2179115961231944E-2</v>
      </c>
      <c r="K394">
        <f t="shared" si="39"/>
        <v>-1.6533709965862974E-2</v>
      </c>
      <c r="L394">
        <f t="shared" si="40"/>
        <v>-4.4482536991847189E-3</v>
      </c>
      <c r="M394">
        <f t="shared" si="41"/>
        <v>-2.2384588858754598E-3</v>
      </c>
    </row>
    <row r="395" spans="1:13" x14ac:dyDescent="0.2">
      <c r="A395" s="6">
        <v>45392</v>
      </c>
      <c r="B395" s="7">
        <v>85.31</v>
      </c>
      <c r="C395" s="7">
        <v>154.41</v>
      </c>
      <c r="D395" s="7">
        <v>491.66</v>
      </c>
      <c r="E395" s="7">
        <v>185.67</v>
      </c>
      <c r="F395" s="7">
        <v>58.7</v>
      </c>
      <c r="G395" s="7">
        <v>318.92</v>
      </c>
      <c r="H395">
        <f t="shared" si="36"/>
        <v>-1.9501488598845883E-2</v>
      </c>
      <c r="I395">
        <f t="shared" si="37"/>
        <v>-3.4265428709836596E-3</v>
      </c>
      <c r="J395">
        <f t="shared" si="38"/>
        <v>-1.5319551604076331E-2</v>
      </c>
      <c r="K395">
        <f t="shared" si="39"/>
        <v>-1.506915951699209E-3</v>
      </c>
      <c r="L395">
        <f t="shared" si="40"/>
        <v>6.4946391336481828E-3</v>
      </c>
      <c r="M395">
        <f t="shared" si="41"/>
        <v>-7.4038544426347037E-3</v>
      </c>
    </row>
    <row r="396" spans="1:13" x14ac:dyDescent="0.2">
      <c r="A396" s="6">
        <v>45391</v>
      </c>
      <c r="B396" s="7">
        <v>87.09</v>
      </c>
      <c r="C396" s="7">
        <v>153.34</v>
      </c>
      <c r="D396" s="7">
        <v>497.22</v>
      </c>
      <c r="E396" s="7">
        <v>185.19</v>
      </c>
      <c r="F396" s="7">
        <v>58.89</v>
      </c>
      <c r="G396" s="7">
        <v>318.87</v>
      </c>
      <c r="H396">
        <f t="shared" si="36"/>
        <v>2.0650385784044913E-2</v>
      </c>
      <c r="I396">
        <f t="shared" si="37"/>
        <v>-6.9537242020244394E-3</v>
      </c>
      <c r="J396">
        <f t="shared" si="38"/>
        <v>1.124516339715788E-2</v>
      </c>
      <c r="K396">
        <f t="shared" si="39"/>
        <v>-2.5885793454655665E-3</v>
      </c>
      <c r="L396">
        <f t="shared" si="40"/>
        <v>3.2315701224285933E-3</v>
      </c>
      <c r="M396">
        <f t="shared" si="41"/>
        <v>-1.5679142069476861E-4</v>
      </c>
    </row>
    <row r="397" spans="1:13" x14ac:dyDescent="0.2">
      <c r="A397" s="6">
        <v>45390</v>
      </c>
      <c r="B397" s="7">
        <v>87.96</v>
      </c>
      <c r="C397" s="7">
        <v>153.80000000000001</v>
      </c>
      <c r="D397" s="7">
        <v>497.69</v>
      </c>
      <c r="E397" s="7">
        <v>185.07</v>
      </c>
      <c r="F397" s="7">
        <v>58.98</v>
      </c>
      <c r="G397" s="7">
        <v>320.77999999999997</v>
      </c>
      <c r="H397">
        <f t="shared" si="36"/>
        <v>9.940098981912171E-3</v>
      </c>
      <c r="I397">
        <f t="shared" si="37"/>
        <v>2.9953789407953881E-3</v>
      </c>
      <c r="J397">
        <f t="shared" si="38"/>
        <v>9.4480914849115569E-4</v>
      </c>
      <c r="K397">
        <f t="shared" si="39"/>
        <v>-6.4819318425729056E-4</v>
      </c>
      <c r="L397">
        <f t="shared" si="40"/>
        <v>1.5271064306508044E-3</v>
      </c>
      <c r="M397">
        <f t="shared" si="41"/>
        <v>5.9720336956318593E-3</v>
      </c>
    </row>
    <row r="398" spans="1:13" x14ac:dyDescent="0.2">
      <c r="A398" s="6">
        <v>45387</v>
      </c>
      <c r="B398" s="7">
        <v>85.86</v>
      </c>
      <c r="C398" s="7">
        <v>156.65</v>
      </c>
      <c r="D398" s="7">
        <v>509.3</v>
      </c>
      <c r="E398" s="7">
        <v>180</v>
      </c>
      <c r="F398" s="7">
        <v>59.19</v>
      </c>
      <c r="G398" s="7">
        <v>323.75</v>
      </c>
      <c r="H398">
        <f t="shared" si="36"/>
        <v>-2.4164102890145867E-2</v>
      </c>
      <c r="I398">
        <f t="shared" si="37"/>
        <v>1.8360960326657075E-2</v>
      </c>
      <c r="J398">
        <f t="shared" si="38"/>
        <v>2.305984065306161E-2</v>
      </c>
      <c r="K398">
        <f t="shared" si="39"/>
        <v>-2.7777280999446517E-2</v>
      </c>
      <c r="L398">
        <f t="shared" si="40"/>
        <v>3.5542053155036063E-3</v>
      </c>
      <c r="M398">
        <f t="shared" si="41"/>
        <v>9.2160831045157814E-3</v>
      </c>
    </row>
    <row r="399" spans="1:13" x14ac:dyDescent="0.2">
      <c r="A399" s="6">
        <v>45386</v>
      </c>
      <c r="B399" s="7">
        <v>88.92</v>
      </c>
      <c r="C399" s="7">
        <v>158.32</v>
      </c>
      <c r="D399" s="7">
        <v>520.51</v>
      </c>
      <c r="E399" s="7">
        <v>182.41</v>
      </c>
      <c r="F399" s="7">
        <v>59.14</v>
      </c>
      <c r="G399" s="7">
        <v>328.48</v>
      </c>
      <c r="H399">
        <f t="shared" si="36"/>
        <v>3.5019026299581354E-2</v>
      </c>
      <c r="I399">
        <f t="shared" si="37"/>
        <v>1.0604283896109512E-2</v>
      </c>
      <c r="J399">
        <f t="shared" si="38"/>
        <v>2.1771866275780219E-2</v>
      </c>
      <c r="K399">
        <f t="shared" si="39"/>
        <v>1.3300049808612813E-2</v>
      </c>
      <c r="L399">
        <f t="shared" si="40"/>
        <v>-8.4509427830243167E-4</v>
      </c>
      <c r="M399">
        <f t="shared" si="41"/>
        <v>1.4504340256876058E-2</v>
      </c>
    </row>
    <row r="400" spans="1:13" x14ac:dyDescent="0.2">
      <c r="A400" s="6">
        <v>45385</v>
      </c>
      <c r="B400" s="7">
        <v>89.41</v>
      </c>
      <c r="C400" s="7">
        <v>155.07</v>
      </c>
      <c r="D400" s="7">
        <v>517.19000000000005</v>
      </c>
      <c r="E400" s="7">
        <v>180.69</v>
      </c>
      <c r="F400" s="7">
        <v>59.66</v>
      </c>
      <c r="G400" s="7">
        <v>332.8</v>
      </c>
      <c r="H400">
        <f t="shared" si="36"/>
        <v>5.4954436512308375E-3</v>
      </c>
      <c r="I400">
        <f t="shared" si="37"/>
        <v>-2.074167341825266E-2</v>
      </c>
      <c r="J400">
        <f t="shared" si="38"/>
        <v>-6.3987883356815736E-3</v>
      </c>
      <c r="K400">
        <f t="shared" si="39"/>
        <v>-9.4740449750838184E-3</v>
      </c>
      <c r="L400">
        <f t="shared" si="40"/>
        <v>8.7542646622713119E-3</v>
      </c>
      <c r="M400">
        <f t="shared" si="41"/>
        <v>1.3065755676430034E-2</v>
      </c>
    </row>
    <row r="401" spans="1:13" x14ac:dyDescent="0.2">
      <c r="A401" s="6">
        <v>45384</v>
      </c>
      <c r="B401" s="7">
        <v>90.32</v>
      </c>
      <c r="C401" s="7">
        <v>155.53</v>
      </c>
      <c r="D401" s="7">
        <v>514.28</v>
      </c>
      <c r="E401" s="7">
        <v>180.97</v>
      </c>
      <c r="F401" s="7">
        <v>58.84</v>
      </c>
      <c r="G401" s="7">
        <v>335.85</v>
      </c>
      <c r="H401">
        <f t="shared" si="36"/>
        <v>1.0126387094179812E-2</v>
      </c>
      <c r="I401">
        <f t="shared" si="37"/>
        <v>2.9620111804112021E-3</v>
      </c>
      <c r="J401">
        <f t="shared" si="38"/>
        <v>-5.6424476146095708E-3</v>
      </c>
      <c r="K401">
        <f t="shared" si="39"/>
        <v>1.5484159483703144E-3</v>
      </c>
      <c r="L401">
        <f t="shared" si="40"/>
        <v>-1.3839883353365568E-2</v>
      </c>
      <c r="M401">
        <f t="shared" si="41"/>
        <v>9.122922765820083E-3</v>
      </c>
    </row>
    <row r="402" spans="1:13" x14ac:dyDescent="0.2">
      <c r="A402" s="6">
        <v>45383</v>
      </c>
      <c r="B402" s="7">
        <v>90.31</v>
      </c>
      <c r="C402" s="7">
        <v>153.79</v>
      </c>
      <c r="D402" s="7">
        <v>516.62</v>
      </c>
      <c r="E402" s="7">
        <v>180.38</v>
      </c>
      <c r="F402" s="7">
        <v>58.83</v>
      </c>
      <c r="G402" s="7">
        <v>346.26</v>
      </c>
      <c r="H402">
        <f t="shared" si="36"/>
        <v>-1.1072357869908119E-4</v>
      </c>
      <c r="I402">
        <f t="shared" si="37"/>
        <v>-1.1250603604636642E-2</v>
      </c>
      <c r="J402">
        <f t="shared" si="38"/>
        <v>4.5397303691594804E-3</v>
      </c>
      <c r="K402">
        <f t="shared" si="39"/>
        <v>-3.2655349345476104E-3</v>
      </c>
      <c r="L402">
        <f t="shared" si="40"/>
        <v>-1.6996685687230127E-4</v>
      </c>
      <c r="M402">
        <f t="shared" si="41"/>
        <v>3.0525306238056427E-2</v>
      </c>
    </row>
    <row r="403" spans="1:13" x14ac:dyDescent="0.2">
      <c r="A403" s="6">
        <v>45379</v>
      </c>
      <c r="B403" s="7">
        <v>90.2</v>
      </c>
      <c r="C403" s="7">
        <v>151.46</v>
      </c>
      <c r="D403" s="7">
        <v>524.66999999999996</v>
      </c>
      <c r="E403" s="7">
        <v>179.83</v>
      </c>
      <c r="F403" s="7">
        <v>58.9</v>
      </c>
      <c r="G403" s="7">
        <v>346.86</v>
      </c>
      <c r="H403">
        <f t="shared" si="36"/>
        <v>-1.2187691941294547E-3</v>
      </c>
      <c r="I403">
        <f t="shared" si="37"/>
        <v>-1.5266471766155419E-2</v>
      </c>
      <c r="J403">
        <f t="shared" si="38"/>
        <v>1.5461898944001981E-2</v>
      </c>
      <c r="K403">
        <f t="shared" si="39"/>
        <v>-3.053776560456497E-3</v>
      </c>
      <c r="L403">
        <f t="shared" si="40"/>
        <v>1.1891617811764497E-3</v>
      </c>
      <c r="M403">
        <f t="shared" si="41"/>
        <v>1.7313023715098122E-3</v>
      </c>
    </row>
    <row r="404" spans="1:13" x14ac:dyDescent="0.2">
      <c r="A404" s="6">
        <v>45378</v>
      </c>
      <c r="B404" s="7">
        <v>92.51</v>
      </c>
      <c r="C404" s="7">
        <v>149.5</v>
      </c>
      <c r="D404" s="7">
        <v>508.33</v>
      </c>
      <c r="E404" s="7">
        <v>178.3</v>
      </c>
      <c r="F404" s="7">
        <v>58.56</v>
      </c>
      <c r="G404" s="7">
        <v>342.86</v>
      </c>
      <c r="H404">
        <f t="shared" si="36"/>
        <v>2.528731971464928E-2</v>
      </c>
      <c r="I404">
        <f t="shared" si="37"/>
        <v>-1.3025170854935597E-2</v>
      </c>
      <c r="J404">
        <f t="shared" si="38"/>
        <v>-3.1638650554356093E-2</v>
      </c>
      <c r="K404">
        <f t="shared" si="39"/>
        <v>-8.5444353080108178E-3</v>
      </c>
      <c r="L404">
        <f t="shared" si="40"/>
        <v>-5.7892210044848237E-3</v>
      </c>
      <c r="M404">
        <f t="shared" si="41"/>
        <v>-1.1599039743104698E-2</v>
      </c>
    </row>
    <row r="405" spans="1:13" x14ac:dyDescent="0.2">
      <c r="A405" s="6">
        <v>45377</v>
      </c>
      <c r="B405" s="7">
        <v>94.95</v>
      </c>
      <c r="C405" s="7">
        <v>153.86000000000001</v>
      </c>
      <c r="D405" s="7">
        <v>504.17</v>
      </c>
      <c r="E405" s="7">
        <v>179.71</v>
      </c>
      <c r="F405" s="7">
        <v>58.49</v>
      </c>
      <c r="G405" s="7">
        <v>342.67</v>
      </c>
      <c r="H405">
        <f t="shared" si="36"/>
        <v>2.6033690475067549E-2</v>
      </c>
      <c r="I405">
        <f t="shared" si="37"/>
        <v>2.8746705200047681E-2</v>
      </c>
      <c r="J405">
        <f t="shared" si="38"/>
        <v>-8.2173301895749392E-3</v>
      </c>
      <c r="K405">
        <f t="shared" si="39"/>
        <v>7.8769156748360047E-3</v>
      </c>
      <c r="L405">
        <f t="shared" si="40"/>
        <v>-1.1960701981216695E-3</v>
      </c>
      <c r="M405">
        <f t="shared" si="41"/>
        <v>-5.5431565318812717E-4</v>
      </c>
    </row>
    <row r="406" spans="1:13" x14ac:dyDescent="0.2">
      <c r="A406" s="6">
        <v>45376</v>
      </c>
      <c r="B406" s="7">
        <v>94.24</v>
      </c>
      <c r="C406" s="7">
        <v>153.5</v>
      </c>
      <c r="D406" s="7">
        <v>494.85</v>
      </c>
      <c r="E406" s="7">
        <v>178.87</v>
      </c>
      <c r="F406" s="7">
        <v>58.22</v>
      </c>
      <c r="G406" s="7">
        <v>344.8</v>
      </c>
      <c r="H406">
        <f t="shared" si="36"/>
        <v>-7.5057173550184368E-3</v>
      </c>
      <c r="I406">
        <f t="shared" si="37"/>
        <v>-2.3425310035368801E-3</v>
      </c>
      <c r="J406">
        <f t="shared" si="38"/>
        <v>-1.8658826442578342E-2</v>
      </c>
      <c r="K406">
        <f t="shared" si="39"/>
        <v>-4.6851555387763481E-3</v>
      </c>
      <c r="L406">
        <f t="shared" si="40"/>
        <v>-4.6268611374572846E-3</v>
      </c>
      <c r="M406">
        <f t="shared" si="41"/>
        <v>6.1966538633911423E-3</v>
      </c>
    </row>
    <row r="407" spans="1:13" x14ac:dyDescent="0.2">
      <c r="A407" s="6">
        <v>45373</v>
      </c>
      <c r="B407" s="7">
        <v>91.39</v>
      </c>
      <c r="C407" s="7">
        <v>154.41999999999999</v>
      </c>
      <c r="D407" s="7">
        <v>488.86</v>
      </c>
      <c r="E407" s="7">
        <v>178.15</v>
      </c>
      <c r="F407" s="7">
        <v>59.05</v>
      </c>
      <c r="G407" s="7">
        <v>347.77</v>
      </c>
      <c r="H407">
        <f t="shared" si="36"/>
        <v>-3.0708656619166219E-2</v>
      </c>
      <c r="I407">
        <f t="shared" si="37"/>
        <v>5.9755958534177074E-3</v>
      </c>
      <c r="J407">
        <f t="shared" si="38"/>
        <v>-1.2178536427594444E-2</v>
      </c>
      <c r="K407">
        <f t="shared" si="39"/>
        <v>-4.0333929533093327E-3</v>
      </c>
      <c r="L407">
        <f t="shared" si="40"/>
        <v>1.4155604325894165E-2</v>
      </c>
      <c r="M407">
        <f t="shared" si="41"/>
        <v>8.5768029411062516E-3</v>
      </c>
    </row>
    <row r="408" spans="1:13" x14ac:dyDescent="0.2">
      <c r="A408" s="6">
        <v>45372</v>
      </c>
      <c r="B408" s="7">
        <v>90.33</v>
      </c>
      <c r="C408" s="7">
        <v>149.9</v>
      </c>
      <c r="D408" s="7">
        <v>483.12</v>
      </c>
      <c r="E408" s="7">
        <v>178.15</v>
      </c>
      <c r="F408" s="7">
        <v>59.21</v>
      </c>
      <c r="G408" s="7">
        <v>352.59</v>
      </c>
      <c r="H408">
        <f t="shared" si="36"/>
        <v>-1.166643212235809E-2</v>
      </c>
      <c r="I408">
        <f t="shared" si="37"/>
        <v>-2.9707757772117632E-2</v>
      </c>
      <c r="J408">
        <f t="shared" si="38"/>
        <v>-1.1811079915459941E-2</v>
      </c>
      <c r="K408">
        <f t="shared" si="39"/>
        <v>0</v>
      </c>
      <c r="L408">
        <f t="shared" si="40"/>
        <v>2.7059039003135212E-3</v>
      </c>
      <c r="M408">
        <f t="shared" si="41"/>
        <v>1.3764567082228184E-2</v>
      </c>
    </row>
    <row r="409" spans="1:13" x14ac:dyDescent="0.2">
      <c r="A409" s="6">
        <v>45371</v>
      </c>
      <c r="B409" s="7">
        <v>89.35</v>
      </c>
      <c r="C409" s="7">
        <v>149.84</v>
      </c>
      <c r="D409" s="7">
        <v>491.35</v>
      </c>
      <c r="E409" s="7">
        <v>175.9</v>
      </c>
      <c r="F409" s="7">
        <v>59.76</v>
      </c>
      <c r="G409" s="7">
        <v>367.51</v>
      </c>
      <c r="H409">
        <f t="shared" si="36"/>
        <v>-1.0908389556315189E-2</v>
      </c>
      <c r="I409">
        <f t="shared" si="37"/>
        <v>-4.0034697271897296E-4</v>
      </c>
      <c r="J409">
        <f t="shared" si="38"/>
        <v>1.6891634808790058E-2</v>
      </c>
      <c r="K409">
        <f t="shared" si="39"/>
        <v>-1.2710240308332557E-2</v>
      </c>
      <c r="L409">
        <f t="shared" si="40"/>
        <v>9.2460942808769916E-3</v>
      </c>
      <c r="M409">
        <f t="shared" si="41"/>
        <v>4.1444620354163297E-2</v>
      </c>
    </row>
    <row r="410" spans="1:13" x14ac:dyDescent="0.2">
      <c r="A410" s="6">
        <v>45370</v>
      </c>
      <c r="B410" s="7">
        <v>88.41</v>
      </c>
      <c r="C410" s="7">
        <v>149.63999999999999</v>
      </c>
      <c r="D410" s="7">
        <v>493.37</v>
      </c>
      <c r="E410" s="7">
        <v>174.48</v>
      </c>
      <c r="F410" s="7">
        <v>59.55</v>
      </c>
      <c r="G410" s="7">
        <v>369.7</v>
      </c>
      <c r="H410">
        <f t="shared" si="36"/>
        <v>-1.0576156187724022E-2</v>
      </c>
      <c r="I410">
        <f t="shared" si="37"/>
        <v>-1.3356486558877879E-3</v>
      </c>
      <c r="J410">
        <f t="shared" si="38"/>
        <v>4.1026948440236344E-3</v>
      </c>
      <c r="K410">
        <f t="shared" si="39"/>
        <v>-8.1055298501389542E-3</v>
      </c>
      <c r="L410">
        <f t="shared" si="40"/>
        <v>-3.5202450232527994E-3</v>
      </c>
      <c r="M410">
        <f t="shared" si="41"/>
        <v>5.9413367755505788E-3</v>
      </c>
    </row>
    <row r="411" spans="1:13" x14ac:dyDescent="0.2">
      <c r="A411" s="6">
        <v>45369</v>
      </c>
      <c r="B411" s="7">
        <v>87.79</v>
      </c>
      <c r="C411" s="7">
        <v>149.04</v>
      </c>
      <c r="D411" s="7">
        <v>500.47</v>
      </c>
      <c r="E411" s="7">
        <v>174.42</v>
      </c>
      <c r="F411" s="7">
        <v>59.61</v>
      </c>
      <c r="G411" s="7">
        <v>363.99</v>
      </c>
      <c r="H411">
        <f t="shared" si="36"/>
        <v>-7.0374864795955776E-3</v>
      </c>
      <c r="I411">
        <f t="shared" si="37"/>
        <v>-4.0176831866123065E-3</v>
      </c>
      <c r="J411">
        <f t="shared" si="38"/>
        <v>1.4288257246398367E-2</v>
      </c>
      <c r="K411">
        <f t="shared" si="39"/>
        <v>-3.4393809453405161E-4</v>
      </c>
      <c r="L411">
        <f t="shared" si="40"/>
        <v>1.0070494305260034E-3</v>
      </c>
      <c r="M411">
        <f t="shared" si="41"/>
        <v>-1.5565471210694799E-2</v>
      </c>
    </row>
    <row r="412" spans="1:13" x14ac:dyDescent="0.2">
      <c r="A412" s="6">
        <v>45366</v>
      </c>
      <c r="B412" s="7">
        <v>87.9</v>
      </c>
      <c r="C412" s="7">
        <v>149.74</v>
      </c>
      <c r="D412" s="7">
        <v>507</v>
      </c>
      <c r="E412" s="7">
        <v>178.75</v>
      </c>
      <c r="F412" s="7">
        <v>59.9</v>
      </c>
      <c r="G412" s="7">
        <v>367.42</v>
      </c>
      <c r="H412">
        <f t="shared" si="36"/>
        <v>1.2522057530138285E-3</v>
      </c>
      <c r="I412">
        <f t="shared" si="37"/>
        <v>4.6857305092061589E-3</v>
      </c>
      <c r="J412">
        <f t="shared" si="38"/>
        <v>1.2963346692324981E-2</v>
      </c>
      <c r="K412">
        <f t="shared" si="39"/>
        <v>2.4521997775277454E-2</v>
      </c>
      <c r="L412">
        <f t="shared" si="40"/>
        <v>4.8531598895685726E-3</v>
      </c>
      <c r="M412">
        <f t="shared" si="41"/>
        <v>9.3792131488997666E-3</v>
      </c>
    </row>
    <row r="413" spans="1:13" x14ac:dyDescent="0.2">
      <c r="A413" s="6">
        <v>45365</v>
      </c>
      <c r="B413" s="7">
        <v>90.84</v>
      </c>
      <c r="C413" s="7">
        <v>146.59</v>
      </c>
      <c r="D413" s="7">
        <v>505.18</v>
      </c>
      <c r="E413" s="7">
        <v>176.56</v>
      </c>
      <c r="F413" s="7">
        <v>60.47</v>
      </c>
      <c r="G413" s="7">
        <v>373.91</v>
      </c>
      <c r="H413">
        <f t="shared" si="36"/>
        <v>3.2899912546226283E-2</v>
      </c>
      <c r="I413">
        <f t="shared" si="37"/>
        <v>-2.1260882500599425E-2</v>
      </c>
      <c r="J413">
        <f t="shared" si="38"/>
        <v>-3.5962021803524311E-3</v>
      </c>
      <c r="K413">
        <f t="shared" si="39"/>
        <v>-1.2327419625636065E-2</v>
      </c>
      <c r="L413">
        <f t="shared" si="40"/>
        <v>9.4708691637179574E-3</v>
      </c>
      <c r="M413">
        <f t="shared" si="41"/>
        <v>1.7509518863648547E-2</v>
      </c>
    </row>
    <row r="414" spans="1:13" x14ac:dyDescent="0.2">
      <c r="A414" s="6">
        <v>45364</v>
      </c>
      <c r="B414" s="7">
        <v>91.87</v>
      </c>
      <c r="C414" s="7">
        <v>147.72</v>
      </c>
      <c r="D414" s="7">
        <v>502.96</v>
      </c>
      <c r="E414" s="7">
        <v>175.39</v>
      </c>
      <c r="F414" s="7">
        <v>60.28</v>
      </c>
      <c r="G414" s="7">
        <v>378.62</v>
      </c>
      <c r="H414">
        <f t="shared" si="36"/>
        <v>1.1274817046017379E-2</v>
      </c>
      <c r="I414">
        <f t="shared" si="37"/>
        <v>7.6790156824227034E-3</v>
      </c>
      <c r="J414">
        <f t="shared" si="38"/>
        <v>-4.404157336025223E-3</v>
      </c>
      <c r="K414">
        <f t="shared" si="39"/>
        <v>-6.6486961784346064E-3</v>
      </c>
      <c r="L414">
        <f t="shared" si="40"/>
        <v>-3.1470005268267281E-3</v>
      </c>
      <c r="M414">
        <f t="shared" si="41"/>
        <v>1.2517936837324302E-2</v>
      </c>
    </row>
    <row r="415" spans="1:13" x14ac:dyDescent="0.2">
      <c r="A415" s="6">
        <v>45363</v>
      </c>
      <c r="B415" s="7">
        <v>85.73</v>
      </c>
      <c r="C415" s="7">
        <v>146.02000000000001</v>
      </c>
      <c r="D415" s="7">
        <v>493.72</v>
      </c>
      <c r="E415" s="7">
        <v>171.96</v>
      </c>
      <c r="F415" s="7">
        <v>59.9</v>
      </c>
      <c r="G415" s="7">
        <v>368.28</v>
      </c>
      <c r="H415">
        <f t="shared" si="36"/>
        <v>-6.9171711592710461E-2</v>
      </c>
      <c r="I415">
        <f t="shared" si="37"/>
        <v>-1.1574991356422652E-2</v>
      </c>
      <c r="J415">
        <f t="shared" si="38"/>
        <v>-1.854208919907761E-2</v>
      </c>
      <c r="K415">
        <f t="shared" si="39"/>
        <v>-1.9750174141965532E-2</v>
      </c>
      <c r="L415">
        <f t="shared" si="40"/>
        <v>-6.3238686368910736E-3</v>
      </c>
      <c r="M415">
        <f t="shared" si="41"/>
        <v>-2.7689545162118929E-2</v>
      </c>
    </row>
    <row r="416" spans="1:13" x14ac:dyDescent="0.2">
      <c r="A416" s="6">
        <v>45362</v>
      </c>
      <c r="B416" s="7">
        <v>87.48</v>
      </c>
      <c r="C416" s="7">
        <v>146.66999999999999</v>
      </c>
      <c r="D416" s="7">
        <v>494.46</v>
      </c>
      <c r="E416" s="7">
        <v>175.35</v>
      </c>
      <c r="F416" s="7">
        <v>59.89</v>
      </c>
      <c r="G416" s="7">
        <v>363.49</v>
      </c>
      <c r="H416">
        <f t="shared" si="36"/>
        <v>2.0207373117902539E-2</v>
      </c>
      <c r="I416">
        <f t="shared" si="37"/>
        <v>4.441566630724E-3</v>
      </c>
      <c r="J416">
        <f t="shared" si="38"/>
        <v>1.4977031276191257E-3</v>
      </c>
      <c r="K416">
        <f t="shared" si="39"/>
        <v>1.9522084958106343E-2</v>
      </c>
      <c r="L416">
        <f t="shared" si="40"/>
        <v>-1.6695884503258501E-4</v>
      </c>
      <c r="M416">
        <f t="shared" si="41"/>
        <v>-1.3091732140855279E-2</v>
      </c>
    </row>
    <row r="417" spans="1:13" x14ac:dyDescent="0.2">
      <c r="A417" s="6">
        <v>45359</v>
      </c>
      <c r="B417" s="7">
        <v>92.62</v>
      </c>
      <c r="C417" s="7">
        <v>140.21</v>
      </c>
      <c r="D417" s="7">
        <v>481.64</v>
      </c>
      <c r="E417" s="7">
        <v>176.82</v>
      </c>
      <c r="F417" s="7">
        <v>59.72</v>
      </c>
      <c r="G417" s="7">
        <v>356.31</v>
      </c>
      <c r="H417">
        <f t="shared" si="36"/>
        <v>5.7094905244038881E-2</v>
      </c>
      <c r="I417">
        <f t="shared" si="37"/>
        <v>-4.5043866525623498E-2</v>
      </c>
      <c r="J417">
        <f t="shared" si="38"/>
        <v>-2.6269310979328941E-2</v>
      </c>
      <c r="K417">
        <f t="shared" si="39"/>
        <v>8.3482893914712444E-3</v>
      </c>
      <c r="L417">
        <f t="shared" si="40"/>
        <v>-2.8425736053814005E-3</v>
      </c>
      <c r="M417">
        <f t="shared" si="41"/>
        <v>-1.9950647824531157E-2</v>
      </c>
    </row>
    <row r="418" spans="1:13" x14ac:dyDescent="0.2">
      <c r="A418" s="6">
        <v>45356</v>
      </c>
      <c r="B418" s="7">
        <v>85.92</v>
      </c>
      <c r="C418" s="7">
        <v>138.83000000000001</v>
      </c>
      <c r="D418" s="7">
        <v>493.06</v>
      </c>
      <c r="E418" s="7">
        <v>174.12</v>
      </c>
      <c r="F418" s="7">
        <v>60.05</v>
      </c>
      <c r="G418" s="7">
        <v>359.53</v>
      </c>
      <c r="H418">
        <f t="shared" si="36"/>
        <v>-7.508847029205136E-2</v>
      </c>
      <c r="I418">
        <f t="shared" si="37"/>
        <v>-9.8911356863291711E-3</v>
      </c>
      <c r="J418">
        <f t="shared" si="38"/>
        <v>2.3433923467314061E-2</v>
      </c>
      <c r="K418">
        <f t="shared" si="39"/>
        <v>-1.5387549293561554E-2</v>
      </c>
      <c r="L418">
        <f t="shared" si="40"/>
        <v>5.5105758550029063E-3</v>
      </c>
      <c r="M418">
        <f t="shared" si="41"/>
        <v>8.9964844601976308E-3</v>
      </c>
    </row>
    <row r="419" spans="1:13" x14ac:dyDescent="0.2">
      <c r="A419" s="6">
        <v>45356</v>
      </c>
      <c r="B419" s="7">
        <v>85.19</v>
      </c>
      <c r="C419" s="7">
        <v>137.55000000000001</v>
      </c>
      <c r="D419" s="7">
        <v>497.22</v>
      </c>
      <c r="E419" s="7">
        <v>177.58</v>
      </c>
      <c r="F419" s="7">
        <v>60.1</v>
      </c>
      <c r="G419" s="7">
        <v>363.09</v>
      </c>
      <c r="H419">
        <f t="shared" si="36"/>
        <v>-8.5325747058054482E-3</v>
      </c>
      <c r="I419">
        <f t="shared" si="37"/>
        <v>-9.2626756761274368E-3</v>
      </c>
      <c r="J419">
        <f t="shared" si="38"/>
        <v>8.4017135976737784E-3</v>
      </c>
      <c r="K419">
        <f t="shared" si="39"/>
        <v>1.967649492008397E-2</v>
      </c>
      <c r="L419">
        <f t="shared" si="40"/>
        <v>8.3229301516936946E-4</v>
      </c>
      <c r="M419">
        <f t="shared" si="41"/>
        <v>9.8531145041658511E-3</v>
      </c>
    </row>
    <row r="420" spans="1:13" x14ac:dyDescent="0.2">
      <c r="A420" s="6">
        <v>45355</v>
      </c>
      <c r="B420" s="7">
        <v>82.23</v>
      </c>
      <c r="C420" s="7">
        <v>136.72999999999999</v>
      </c>
      <c r="D420" s="7">
        <v>481.14</v>
      </c>
      <c r="E420" s="7">
        <v>178.22</v>
      </c>
      <c r="F420" s="7">
        <v>60.23</v>
      </c>
      <c r="G420" s="7">
        <v>358.83</v>
      </c>
      <c r="H420">
        <f t="shared" si="36"/>
        <v>-3.5363857071944942E-2</v>
      </c>
      <c r="I420">
        <f t="shared" si="37"/>
        <v>-5.9793090495934721E-3</v>
      </c>
      <c r="J420">
        <f t="shared" si="38"/>
        <v>-3.2874296042013862E-2</v>
      </c>
      <c r="K420">
        <f t="shared" si="39"/>
        <v>3.5975305803929406E-3</v>
      </c>
      <c r="L420">
        <f t="shared" si="40"/>
        <v>2.160725514467676E-3</v>
      </c>
      <c r="M420">
        <f t="shared" si="41"/>
        <v>-1.1801998689139018E-2</v>
      </c>
    </row>
    <row r="421" spans="1:13" x14ac:dyDescent="0.2">
      <c r="A421" s="6">
        <v>45352</v>
      </c>
      <c r="B421" s="7">
        <v>79.069999999999993</v>
      </c>
      <c r="C421" s="7">
        <v>134.47999999999999</v>
      </c>
      <c r="D421" s="7">
        <v>503.38</v>
      </c>
      <c r="E421" s="7">
        <v>176.76</v>
      </c>
      <c r="F421" s="7">
        <v>59.49</v>
      </c>
      <c r="G421" s="7">
        <v>355.93</v>
      </c>
      <c r="H421">
        <f t="shared" si="36"/>
        <v>-3.9186662899968604E-2</v>
      </c>
      <c r="I421">
        <f t="shared" si="37"/>
        <v>-1.6592689220630116E-2</v>
      </c>
      <c r="J421">
        <f t="shared" si="38"/>
        <v>4.5187064027864585E-2</v>
      </c>
      <c r="K421">
        <f t="shared" si="39"/>
        <v>-8.2258619220345677E-3</v>
      </c>
      <c r="L421">
        <f t="shared" si="40"/>
        <v>-1.236233585581527E-2</v>
      </c>
      <c r="M421">
        <f t="shared" si="41"/>
        <v>-8.1146564249939615E-3</v>
      </c>
    </row>
    <row r="422" spans="1:13" x14ac:dyDescent="0.2">
      <c r="A422" s="6">
        <v>45351</v>
      </c>
      <c r="B422" s="7">
        <v>77.62</v>
      </c>
      <c r="C422" s="7">
        <v>133.46</v>
      </c>
      <c r="D422" s="7">
        <v>509.59</v>
      </c>
      <c r="E422" s="7">
        <v>173.16</v>
      </c>
      <c r="F422" s="7">
        <v>58.96</v>
      </c>
      <c r="G422" s="7">
        <v>357.69</v>
      </c>
      <c r="H422">
        <f t="shared" si="36"/>
        <v>-1.8508410142075316E-2</v>
      </c>
      <c r="I422">
        <f t="shared" si="37"/>
        <v>-7.6136816248995754E-3</v>
      </c>
      <c r="J422">
        <f t="shared" si="38"/>
        <v>1.2261128756649571E-2</v>
      </c>
      <c r="K422">
        <f t="shared" si="39"/>
        <v>-2.0576857688759387E-2</v>
      </c>
      <c r="L422">
        <f t="shared" si="40"/>
        <v>-8.9489833187331499E-3</v>
      </c>
      <c r="M422">
        <f t="shared" si="41"/>
        <v>4.9326071816612749E-3</v>
      </c>
    </row>
    <row r="423" spans="1:13" x14ac:dyDescent="0.2">
      <c r="A423" s="6">
        <v>45350</v>
      </c>
      <c r="B423" s="7">
        <v>78.66</v>
      </c>
      <c r="C423" s="7">
        <v>130.5</v>
      </c>
      <c r="D423" s="7">
        <v>493.57</v>
      </c>
      <c r="E423" s="7">
        <v>173.54</v>
      </c>
      <c r="F423" s="7">
        <v>59.2</v>
      </c>
      <c r="G423" s="7">
        <v>360.75</v>
      </c>
      <c r="H423">
        <f t="shared" si="36"/>
        <v>1.3309641062903227E-2</v>
      </c>
      <c r="I423">
        <f t="shared" si="37"/>
        <v>-2.2428580712712462E-2</v>
      </c>
      <c r="J423">
        <f t="shared" si="38"/>
        <v>-3.1941788045243953E-2</v>
      </c>
      <c r="K423">
        <f t="shared" si="39"/>
        <v>2.1920977915638757E-3</v>
      </c>
      <c r="L423">
        <f t="shared" si="40"/>
        <v>4.0622940088789264E-3</v>
      </c>
      <c r="M423">
        <f t="shared" si="41"/>
        <v>8.5185081678299281E-3</v>
      </c>
    </row>
    <row r="424" spans="1:13" x14ac:dyDescent="0.2">
      <c r="A424" s="6">
        <v>45348</v>
      </c>
      <c r="B424" s="7">
        <v>78.77</v>
      </c>
      <c r="C424" s="7">
        <v>132.44</v>
      </c>
      <c r="D424" s="7">
        <v>495.66</v>
      </c>
      <c r="E424" s="7">
        <v>174.99</v>
      </c>
      <c r="F424" s="7">
        <v>58.89</v>
      </c>
      <c r="G424" s="7">
        <v>361.6</v>
      </c>
      <c r="H424">
        <f t="shared" si="36"/>
        <v>1.3974467115695657E-3</v>
      </c>
      <c r="I424">
        <f t="shared" si="37"/>
        <v>1.4756485916297388E-2</v>
      </c>
      <c r="J424">
        <f t="shared" si="38"/>
        <v>4.2255150162065274E-3</v>
      </c>
      <c r="K424">
        <f t="shared" si="39"/>
        <v>8.320709068312419E-3</v>
      </c>
      <c r="L424">
        <f t="shared" si="40"/>
        <v>-5.2502449334806819E-3</v>
      </c>
      <c r="M424">
        <f t="shared" si="41"/>
        <v>2.3534308640413082E-3</v>
      </c>
    </row>
    <row r="425" spans="1:13" x14ac:dyDescent="0.2">
      <c r="A425" s="6">
        <v>45345</v>
      </c>
      <c r="B425" s="7">
        <v>78.489999999999995</v>
      </c>
      <c r="C425" s="7">
        <v>136.19999999999999</v>
      </c>
      <c r="D425" s="7">
        <v>499.75</v>
      </c>
      <c r="E425" s="7">
        <v>174.58</v>
      </c>
      <c r="F425" s="7">
        <v>58.16</v>
      </c>
      <c r="G425" s="7">
        <v>360.42</v>
      </c>
      <c r="H425">
        <f t="shared" si="36"/>
        <v>-3.5609855765106942E-3</v>
      </c>
      <c r="I425">
        <f t="shared" si="37"/>
        <v>2.7994681036366473E-2</v>
      </c>
      <c r="J425">
        <f t="shared" si="38"/>
        <v>8.2177655780404368E-3</v>
      </c>
      <c r="K425">
        <f t="shared" si="39"/>
        <v>-2.3457401264521762E-3</v>
      </c>
      <c r="L425">
        <f t="shared" si="40"/>
        <v>-1.2473463731215526E-2</v>
      </c>
      <c r="M425">
        <f t="shared" si="41"/>
        <v>-3.2686104278963359E-3</v>
      </c>
    </row>
    <row r="426" spans="1:13" x14ac:dyDescent="0.2">
      <c r="A426" s="6">
        <v>45344</v>
      </c>
      <c r="B426" s="7">
        <v>67.430000000000007</v>
      </c>
      <c r="C426" s="7">
        <v>137.51</v>
      </c>
      <c r="D426" s="7">
        <v>487.64</v>
      </c>
      <c r="E426" s="7">
        <v>168.59</v>
      </c>
      <c r="F426" s="7">
        <v>57.63</v>
      </c>
      <c r="G426" s="7">
        <v>362.24</v>
      </c>
      <c r="H426">
        <f t="shared" si="36"/>
        <v>-0.15188120539223157</v>
      </c>
      <c r="I426">
        <f t="shared" si="37"/>
        <v>9.5722480194414452E-3</v>
      </c>
      <c r="J426">
        <f t="shared" si="38"/>
        <v>-2.4530544683563939E-2</v>
      </c>
      <c r="K426">
        <f t="shared" si="39"/>
        <v>-3.4913357479493888E-2</v>
      </c>
      <c r="L426">
        <f t="shared" si="40"/>
        <v>-9.1545677766887972E-3</v>
      </c>
      <c r="M426">
        <f t="shared" si="41"/>
        <v>5.0369574846383233E-3</v>
      </c>
    </row>
    <row r="427" spans="1:13" x14ac:dyDescent="0.2">
      <c r="A427" s="6">
        <v>45343</v>
      </c>
      <c r="B427" s="7">
        <v>69.41</v>
      </c>
      <c r="C427" s="7">
        <v>135.44999999999999</v>
      </c>
      <c r="D427" s="7">
        <v>481.56</v>
      </c>
      <c r="E427" s="7">
        <v>167.08</v>
      </c>
      <c r="F427" s="7">
        <v>57.48</v>
      </c>
      <c r="G427" s="7">
        <v>366.13</v>
      </c>
      <c r="H427">
        <f t="shared" si="36"/>
        <v>2.8940926605001627E-2</v>
      </c>
      <c r="I427">
        <f t="shared" si="37"/>
        <v>-1.5094073203749265E-2</v>
      </c>
      <c r="J427">
        <f t="shared" si="38"/>
        <v>-1.2546594630119791E-2</v>
      </c>
      <c r="K427">
        <f t="shared" si="39"/>
        <v>-8.9969921987351799E-3</v>
      </c>
      <c r="L427">
        <f t="shared" si="40"/>
        <v>-2.6062042377508646E-3</v>
      </c>
      <c r="M427">
        <f t="shared" si="41"/>
        <v>1.068148601795197E-2</v>
      </c>
    </row>
    <row r="428" spans="1:13" x14ac:dyDescent="0.2">
      <c r="A428" s="6">
        <v>45342</v>
      </c>
      <c r="B428" s="7">
        <v>72.569999999999993</v>
      </c>
      <c r="C428" s="7">
        <v>137.93</v>
      </c>
      <c r="D428" s="7">
        <v>484.58</v>
      </c>
      <c r="E428" s="7">
        <v>169.51</v>
      </c>
      <c r="F428" s="7">
        <v>58.47</v>
      </c>
      <c r="G428" s="7">
        <v>362.47</v>
      </c>
      <c r="H428">
        <f t="shared" si="36"/>
        <v>4.4520663938553182E-2</v>
      </c>
      <c r="I428">
        <f t="shared" si="37"/>
        <v>1.8143741556324484E-2</v>
      </c>
      <c r="J428">
        <f t="shared" si="38"/>
        <v>6.2517023124570494E-3</v>
      </c>
      <c r="K428">
        <f t="shared" si="39"/>
        <v>1.4439182501420192E-2</v>
      </c>
      <c r="L428">
        <f t="shared" si="40"/>
        <v>1.7076740976755041E-2</v>
      </c>
      <c r="M428">
        <f t="shared" si="41"/>
        <v>-1.0046749343359133E-2</v>
      </c>
    </row>
    <row r="429" spans="1:13" x14ac:dyDescent="0.2">
      <c r="A429" s="6">
        <v>45338</v>
      </c>
      <c r="B429" s="7">
        <v>72.62</v>
      </c>
      <c r="C429" s="7">
        <v>136.63</v>
      </c>
      <c r="D429" s="7">
        <v>479.3</v>
      </c>
      <c r="E429" s="7">
        <v>169.8</v>
      </c>
      <c r="F429" s="7">
        <v>58.44</v>
      </c>
      <c r="G429" s="7">
        <v>359.62</v>
      </c>
      <c r="H429">
        <f t="shared" si="36"/>
        <v>6.8875269614423703E-4</v>
      </c>
      <c r="I429">
        <f t="shared" si="37"/>
        <v>-9.469767737032073E-3</v>
      </c>
      <c r="J429">
        <f t="shared" si="38"/>
        <v>-1.0955830213697117E-2</v>
      </c>
      <c r="K429">
        <f t="shared" si="39"/>
        <v>1.7093517468522433E-3</v>
      </c>
      <c r="L429">
        <f t="shared" si="40"/>
        <v>-5.1321530508042113E-4</v>
      </c>
      <c r="M429">
        <f t="shared" si="41"/>
        <v>-7.8937938458647165E-3</v>
      </c>
    </row>
    <row r="430" spans="1:13" x14ac:dyDescent="0.2">
      <c r="A430" s="6">
        <v>45336</v>
      </c>
      <c r="B430" s="7">
        <v>72.09</v>
      </c>
      <c r="C430" s="7">
        <v>143.1</v>
      </c>
      <c r="D430" s="7">
        <v>483.66</v>
      </c>
      <c r="E430" s="7">
        <v>168.64</v>
      </c>
      <c r="F430" s="7">
        <v>58.45</v>
      </c>
      <c r="G430" s="7">
        <v>353.89</v>
      </c>
      <c r="H430">
        <f t="shared" si="36"/>
        <v>-7.3250275697024974E-3</v>
      </c>
      <c r="I430">
        <f t="shared" si="37"/>
        <v>4.6267144212008712E-2</v>
      </c>
      <c r="J430">
        <f t="shared" si="38"/>
        <v>9.0554743579790205E-3</v>
      </c>
      <c r="K430">
        <f t="shared" si="39"/>
        <v>-6.8550085242495744E-3</v>
      </c>
      <c r="L430">
        <f t="shared" si="40"/>
        <v>1.7110103557885041E-4</v>
      </c>
      <c r="M430">
        <f t="shared" si="41"/>
        <v>-1.6061788020950773E-2</v>
      </c>
    </row>
    <row r="431" spans="1:13" x14ac:dyDescent="0.2">
      <c r="A431" s="6">
        <v>45334</v>
      </c>
      <c r="B431" s="7">
        <v>72.09</v>
      </c>
      <c r="C431" s="7">
        <v>140.15</v>
      </c>
      <c r="D431" s="7">
        <v>465.66</v>
      </c>
      <c r="E431" s="7">
        <v>174.45</v>
      </c>
      <c r="F431" s="7">
        <v>57.35</v>
      </c>
      <c r="G431" s="7">
        <v>353.65</v>
      </c>
      <c r="H431">
        <f t="shared" si="36"/>
        <v>0</v>
      </c>
      <c r="I431">
        <f t="shared" si="37"/>
        <v>-2.0830408951607832E-2</v>
      </c>
      <c r="J431">
        <f t="shared" si="38"/>
        <v>-3.7926426429462048E-2</v>
      </c>
      <c r="K431">
        <f t="shared" si="39"/>
        <v>3.3871902279785593E-2</v>
      </c>
      <c r="L431">
        <f t="shared" si="40"/>
        <v>-1.8998844342697729E-2</v>
      </c>
      <c r="M431">
        <f t="shared" si="41"/>
        <v>-6.7840690054199449E-4</v>
      </c>
    </row>
    <row r="432" spans="1:13" x14ac:dyDescent="0.2">
      <c r="A432" s="6">
        <v>45331</v>
      </c>
      <c r="B432" s="7">
        <v>69.599999999999994</v>
      </c>
      <c r="C432" s="7">
        <v>139.56</v>
      </c>
      <c r="D432" s="7">
        <v>468.86</v>
      </c>
      <c r="E432" s="7">
        <v>169.84</v>
      </c>
      <c r="F432" s="7">
        <v>56.79</v>
      </c>
      <c r="G432" s="7">
        <v>346.78</v>
      </c>
      <c r="H432">
        <f t="shared" si="36"/>
        <v>-3.5150771076113439E-2</v>
      </c>
      <c r="I432">
        <f t="shared" si="37"/>
        <v>-4.2186612922239563E-3</v>
      </c>
      <c r="J432">
        <f t="shared" si="38"/>
        <v>6.8484623272693041E-3</v>
      </c>
      <c r="K432">
        <f t="shared" si="39"/>
        <v>-2.6781350237782407E-2</v>
      </c>
      <c r="L432">
        <f t="shared" si="40"/>
        <v>-9.8125896860385645E-3</v>
      </c>
      <c r="M432">
        <f t="shared" si="41"/>
        <v>-1.9617150365472194E-2</v>
      </c>
    </row>
    <row r="433" spans="1:13" x14ac:dyDescent="0.2">
      <c r="A433" s="6">
        <v>45330</v>
      </c>
      <c r="B433" s="7">
        <v>70.06</v>
      </c>
      <c r="C433" s="7">
        <v>141.79</v>
      </c>
      <c r="D433" s="7">
        <v>470.42</v>
      </c>
      <c r="E433" s="7">
        <v>170.53</v>
      </c>
      <c r="F433" s="7">
        <v>57.49</v>
      </c>
      <c r="G433" s="7">
        <v>345.29</v>
      </c>
      <c r="H433">
        <f t="shared" si="36"/>
        <v>6.5874504289668151E-3</v>
      </c>
      <c r="I433">
        <f t="shared" si="37"/>
        <v>1.5852473430893056E-2</v>
      </c>
      <c r="J433">
        <f t="shared" si="38"/>
        <v>3.3216962660258028E-3</v>
      </c>
      <c r="K433">
        <f t="shared" si="39"/>
        <v>4.054416929822174E-3</v>
      </c>
      <c r="L433">
        <f t="shared" si="40"/>
        <v>1.2250765745858488E-2</v>
      </c>
      <c r="M433">
        <f t="shared" si="41"/>
        <v>-4.3059294642939575E-3</v>
      </c>
    </row>
    <row r="434" spans="1:13" x14ac:dyDescent="0.2">
      <c r="A434" s="6">
        <v>45329</v>
      </c>
      <c r="B434" s="7">
        <v>68.19</v>
      </c>
      <c r="C434" s="7">
        <v>144.94</v>
      </c>
      <c r="D434" s="7">
        <v>481.06</v>
      </c>
      <c r="E434" s="7">
        <v>169.15</v>
      </c>
      <c r="F434" s="7">
        <v>55.7</v>
      </c>
      <c r="G434" s="7">
        <v>345.08</v>
      </c>
      <c r="H434">
        <f t="shared" si="36"/>
        <v>-2.7054091236779272E-2</v>
      </c>
      <c r="I434">
        <f t="shared" si="37"/>
        <v>2.1972773931668865E-2</v>
      </c>
      <c r="J434">
        <f t="shared" si="38"/>
        <v>2.2366089763701334E-2</v>
      </c>
      <c r="K434">
        <f t="shared" si="39"/>
        <v>-8.1253390981053716E-3</v>
      </c>
      <c r="L434">
        <f t="shared" si="40"/>
        <v>-3.1630872701961188E-2</v>
      </c>
      <c r="M434">
        <f t="shared" si="41"/>
        <v>-6.0836944385477844E-4</v>
      </c>
    </row>
    <row r="435" spans="1:13" x14ac:dyDescent="0.2">
      <c r="A435" s="6">
        <v>45328</v>
      </c>
      <c r="B435" s="7">
        <v>69.290000000000006</v>
      </c>
      <c r="C435" s="7">
        <v>144.15</v>
      </c>
      <c r="D435" s="7">
        <v>470.38</v>
      </c>
      <c r="E435" s="7">
        <v>170.31</v>
      </c>
      <c r="F435" s="7">
        <v>55.35</v>
      </c>
      <c r="G435" s="7">
        <v>343.87</v>
      </c>
      <c r="H435">
        <f t="shared" si="36"/>
        <v>1.6002669106728568E-2</v>
      </c>
      <c r="I435">
        <f t="shared" si="37"/>
        <v>-5.4654395967240919E-3</v>
      </c>
      <c r="J435">
        <f t="shared" si="38"/>
        <v>-2.2451123777358015E-2</v>
      </c>
      <c r="K435">
        <f t="shared" si="39"/>
        <v>6.834410624026949E-3</v>
      </c>
      <c r="L435">
        <f t="shared" si="40"/>
        <v>-6.3034877785925099E-3</v>
      </c>
      <c r="M435">
        <f t="shared" si="41"/>
        <v>-3.5125952365604859E-3</v>
      </c>
    </row>
    <row r="436" spans="1:13" x14ac:dyDescent="0.2">
      <c r="A436" s="6">
        <v>45327</v>
      </c>
      <c r="B436" s="7">
        <v>66.12</v>
      </c>
      <c r="C436" s="7">
        <v>146.52000000000001</v>
      </c>
      <c r="D436" s="7">
        <v>457.3</v>
      </c>
      <c r="E436" s="7">
        <v>171.81</v>
      </c>
      <c r="F436" s="7">
        <v>55.12</v>
      </c>
      <c r="G436" s="7">
        <v>341.16</v>
      </c>
      <c r="H436">
        <f t="shared" si="36"/>
        <v>-4.6829322686466543E-2</v>
      </c>
      <c r="I436">
        <f t="shared" si="37"/>
        <v>1.6307513826202422E-2</v>
      </c>
      <c r="J436">
        <f t="shared" si="38"/>
        <v>-2.8201248009731377E-2</v>
      </c>
      <c r="K436">
        <f t="shared" si="39"/>
        <v>8.7689092231311178E-3</v>
      </c>
      <c r="L436">
        <f t="shared" si="40"/>
        <v>-4.1640324492428363E-3</v>
      </c>
      <c r="M436">
        <f t="shared" si="41"/>
        <v>-7.9121035209086567E-3</v>
      </c>
    </row>
    <row r="437" spans="1:13" x14ac:dyDescent="0.2">
      <c r="A437" s="6">
        <v>45324</v>
      </c>
      <c r="B437" s="7">
        <v>62.99</v>
      </c>
      <c r="C437" s="7">
        <v>147.97999999999999</v>
      </c>
      <c r="D437" s="7">
        <v>466.03</v>
      </c>
      <c r="E437" s="7">
        <v>159.28</v>
      </c>
      <c r="F437" s="7">
        <v>55.3</v>
      </c>
      <c r="G437" s="7">
        <v>340.55</v>
      </c>
      <c r="H437">
        <f t="shared" si="36"/>
        <v>-4.8495289318985883E-2</v>
      </c>
      <c r="I437">
        <f t="shared" si="37"/>
        <v>9.9151915867911108E-3</v>
      </c>
      <c r="J437">
        <f t="shared" si="38"/>
        <v>1.8910379071885586E-2</v>
      </c>
      <c r="K437">
        <f t="shared" si="39"/>
        <v>-7.5725555317934776E-2</v>
      </c>
      <c r="L437">
        <f t="shared" si="40"/>
        <v>3.2602818228860734E-3</v>
      </c>
      <c r="M437">
        <f t="shared" si="41"/>
        <v>-1.7896177635813469E-3</v>
      </c>
    </row>
    <row r="438" spans="1:13" x14ac:dyDescent="0.2">
      <c r="A438" s="6">
        <v>45323</v>
      </c>
      <c r="B438" s="7">
        <v>61.49</v>
      </c>
      <c r="C438" s="7">
        <v>144.91</v>
      </c>
      <c r="D438" s="7">
        <v>465.24</v>
      </c>
      <c r="E438" s="7">
        <v>155.19999999999999</v>
      </c>
      <c r="F438" s="7">
        <v>55.68</v>
      </c>
      <c r="G438" s="7">
        <v>348.04</v>
      </c>
      <c r="H438">
        <f t="shared" si="36"/>
        <v>-2.4101423668459274E-2</v>
      </c>
      <c r="I438">
        <f t="shared" si="37"/>
        <v>-2.0964269439572018E-2</v>
      </c>
      <c r="J438">
        <f t="shared" si="38"/>
        <v>-1.6966082650571401E-3</v>
      </c>
      <c r="K438">
        <f t="shared" si="39"/>
        <v>-2.5949052006822512E-2</v>
      </c>
      <c r="L438">
        <f t="shared" si="40"/>
        <v>6.8481074978751595E-3</v>
      </c>
      <c r="M438">
        <f t="shared" si="41"/>
        <v>2.1755458010496231E-2</v>
      </c>
    </row>
    <row r="439" spans="1:13" x14ac:dyDescent="0.2">
      <c r="A439" s="6">
        <v>45322</v>
      </c>
      <c r="B439" s="7">
        <v>62.74</v>
      </c>
      <c r="C439" s="7">
        <v>144.54</v>
      </c>
      <c r="D439" s="7">
        <v>467.12</v>
      </c>
      <c r="E439" s="7">
        <v>159</v>
      </c>
      <c r="F439" s="7">
        <v>55.34</v>
      </c>
      <c r="G439" s="7">
        <v>345.85</v>
      </c>
      <c r="H439">
        <f t="shared" si="36"/>
        <v>2.0124642797153796E-2</v>
      </c>
      <c r="I439">
        <f t="shared" si="37"/>
        <v>-2.5565742029978683E-3</v>
      </c>
      <c r="J439">
        <f t="shared" si="38"/>
        <v>4.032782504444137E-3</v>
      </c>
      <c r="K439">
        <f t="shared" si="39"/>
        <v>2.4189594471113282E-2</v>
      </c>
      <c r="L439">
        <f t="shared" si="40"/>
        <v>-6.1250416673843417E-3</v>
      </c>
      <c r="M439">
        <f t="shared" si="41"/>
        <v>-6.3122606512299451E-3</v>
      </c>
    </row>
    <row r="440" spans="1:13" x14ac:dyDescent="0.2">
      <c r="A440" s="6">
        <v>45321</v>
      </c>
      <c r="B440" s="7">
        <v>62.43</v>
      </c>
      <c r="C440" s="7">
        <v>143.11000000000001</v>
      </c>
      <c r="D440" s="7">
        <v>466.71</v>
      </c>
      <c r="E440" s="7">
        <v>161.26</v>
      </c>
      <c r="F440" s="7">
        <v>55.37</v>
      </c>
      <c r="G440" s="7">
        <v>346.39</v>
      </c>
      <c r="H440">
        <f t="shared" si="36"/>
        <v>-4.9532736888793748E-3</v>
      </c>
      <c r="I440">
        <f t="shared" si="37"/>
        <v>-9.9427205320503503E-3</v>
      </c>
      <c r="J440">
        <f t="shared" si="38"/>
        <v>-8.7810420814242787E-4</v>
      </c>
      <c r="K440">
        <f t="shared" si="39"/>
        <v>1.4113767036644383E-2</v>
      </c>
      <c r="L440">
        <f t="shared" si="40"/>
        <v>5.4195647609578282E-4</v>
      </c>
      <c r="M440">
        <f t="shared" si="41"/>
        <v>1.5601528647099226E-3</v>
      </c>
    </row>
    <row r="441" spans="1:13" x14ac:dyDescent="0.2">
      <c r="A441" s="6">
        <v>45320</v>
      </c>
      <c r="B441" s="7">
        <v>61</v>
      </c>
      <c r="C441" s="7">
        <v>142.69999999999999</v>
      </c>
      <c r="D441" s="7">
        <v>451.93</v>
      </c>
      <c r="E441" s="7">
        <v>159.12</v>
      </c>
      <c r="F441" s="7">
        <v>55.37</v>
      </c>
      <c r="G441" s="7">
        <v>345.41</v>
      </c>
      <c r="H441">
        <f t="shared" si="36"/>
        <v>-2.3172064900341446E-2</v>
      </c>
      <c r="I441">
        <f t="shared" si="37"/>
        <v>-2.8690408399938997E-3</v>
      </c>
      <c r="J441">
        <f t="shared" si="38"/>
        <v>-3.2180779184717574E-2</v>
      </c>
      <c r="K441">
        <f t="shared" si="39"/>
        <v>-1.3359334711159181E-2</v>
      </c>
      <c r="L441">
        <f t="shared" si="40"/>
        <v>0</v>
      </c>
      <c r="M441">
        <f t="shared" si="41"/>
        <v>-2.8331906780448136E-3</v>
      </c>
    </row>
    <row r="442" spans="1:13" x14ac:dyDescent="0.2">
      <c r="A442" s="6">
        <v>45317</v>
      </c>
      <c r="B442" s="7">
        <v>61.58</v>
      </c>
      <c r="C442" s="7">
        <v>141.4</v>
      </c>
      <c r="D442" s="7">
        <v>456.6</v>
      </c>
      <c r="E442" s="7">
        <v>157.75</v>
      </c>
      <c r="F442" s="7">
        <v>55.52</v>
      </c>
      <c r="G442" s="7">
        <v>339.27</v>
      </c>
      <c r="H442">
        <f t="shared" si="36"/>
        <v>9.4632783230431256E-3</v>
      </c>
      <c r="I442">
        <f t="shared" si="37"/>
        <v>-9.1517710203182154E-3</v>
      </c>
      <c r="J442">
        <f t="shared" si="38"/>
        <v>1.0280433513272947E-2</v>
      </c>
      <c r="K442">
        <f t="shared" si="39"/>
        <v>-8.6471331243943017E-3</v>
      </c>
      <c r="L442">
        <f t="shared" si="40"/>
        <v>2.7053853636732463E-3</v>
      </c>
      <c r="M442">
        <f t="shared" si="41"/>
        <v>-1.7935866681913701E-2</v>
      </c>
    </row>
    <row r="443" spans="1:13" x14ac:dyDescent="0.2">
      <c r="A443" s="6">
        <v>45316</v>
      </c>
      <c r="B443" s="7">
        <v>61.33</v>
      </c>
      <c r="C443" s="7">
        <v>140.19</v>
      </c>
      <c r="D443" s="7">
        <v>472.08</v>
      </c>
      <c r="E443" s="7">
        <v>156.87</v>
      </c>
      <c r="F443" s="7">
        <v>55.14</v>
      </c>
      <c r="G443" s="7">
        <v>338.22</v>
      </c>
      <c r="H443">
        <f t="shared" si="36"/>
        <v>-4.0680228584620047E-3</v>
      </c>
      <c r="I443">
        <f t="shared" si="37"/>
        <v>-8.5941080820279118E-3</v>
      </c>
      <c r="J443">
        <f t="shared" si="38"/>
        <v>3.3340728653218042E-2</v>
      </c>
      <c r="K443">
        <f t="shared" si="39"/>
        <v>-5.5940645531735427E-3</v>
      </c>
      <c r="L443">
        <f t="shared" si="40"/>
        <v>-6.8679106028984166E-3</v>
      </c>
      <c r="M443">
        <f t="shared" si="41"/>
        <v>-3.09967922980647E-3</v>
      </c>
    </row>
    <row r="444" spans="1:13" x14ac:dyDescent="0.2">
      <c r="A444" s="6">
        <v>45315</v>
      </c>
      <c r="B444" s="7">
        <v>59.84</v>
      </c>
      <c r="C444" s="7">
        <v>139.13999999999999</v>
      </c>
      <c r="D444" s="7">
        <v>392.36</v>
      </c>
      <c r="E444" s="7">
        <v>156.02000000000001</v>
      </c>
      <c r="F444" s="7">
        <v>55.44</v>
      </c>
      <c r="G444" s="7">
        <v>340.21</v>
      </c>
      <c r="H444">
        <f t="shared" si="36"/>
        <v>-2.4594785971670422E-2</v>
      </c>
      <c r="I444">
        <f t="shared" si="37"/>
        <v>-7.5180248849492466E-3</v>
      </c>
      <c r="J444">
        <f t="shared" si="38"/>
        <v>-0.1849686770527984</v>
      </c>
      <c r="K444">
        <f t="shared" si="39"/>
        <v>-5.4332327079818265E-3</v>
      </c>
      <c r="L444">
        <f t="shared" si="40"/>
        <v>5.425949285996985E-3</v>
      </c>
      <c r="M444">
        <f t="shared" si="41"/>
        <v>5.8665026820523694E-3</v>
      </c>
    </row>
    <row r="445" spans="1:13" x14ac:dyDescent="0.2">
      <c r="A445" s="6">
        <v>45314</v>
      </c>
      <c r="B445" s="7">
        <v>59.62</v>
      </c>
      <c r="C445" s="7">
        <v>150.41999999999999</v>
      </c>
      <c r="D445" s="7">
        <v>387.75</v>
      </c>
      <c r="E445" s="7">
        <v>154.78</v>
      </c>
      <c r="F445" s="7">
        <v>55.03</v>
      </c>
      <c r="G445" s="7">
        <v>342.91</v>
      </c>
      <c r="H445">
        <f t="shared" si="36"/>
        <v>-3.6832454162965163E-3</v>
      </c>
      <c r="I445">
        <f t="shared" si="37"/>
        <v>7.7950760902761845E-2</v>
      </c>
      <c r="J445">
        <f t="shared" si="38"/>
        <v>-1.1818983639466669E-2</v>
      </c>
      <c r="K445">
        <f t="shared" si="39"/>
        <v>-7.979450317854072E-3</v>
      </c>
      <c r="L445">
        <f t="shared" si="40"/>
        <v>-7.422863809980253E-3</v>
      </c>
      <c r="M445">
        <f t="shared" si="41"/>
        <v>7.9049480613400218E-3</v>
      </c>
    </row>
    <row r="446" spans="1:13" x14ac:dyDescent="0.2">
      <c r="A446" s="6">
        <v>45313</v>
      </c>
      <c r="B446" s="7">
        <v>59.46</v>
      </c>
      <c r="C446" s="7">
        <v>152.46</v>
      </c>
      <c r="D446" s="7">
        <v>397.61</v>
      </c>
      <c r="E446" s="7">
        <v>155.34</v>
      </c>
      <c r="F446" s="7">
        <v>54.02</v>
      </c>
      <c r="G446" s="7">
        <v>336.14</v>
      </c>
      <c r="H446">
        <f t="shared" si="36"/>
        <v>-2.6872706799737568E-3</v>
      </c>
      <c r="I446">
        <f t="shared" si="37"/>
        <v>1.3470885161870852E-2</v>
      </c>
      <c r="J446">
        <f t="shared" si="38"/>
        <v>2.5110823314924629E-2</v>
      </c>
      <c r="K446">
        <f t="shared" si="39"/>
        <v>3.6115091491882097E-3</v>
      </c>
      <c r="L446">
        <f t="shared" si="40"/>
        <v>-1.8524142707197825E-2</v>
      </c>
      <c r="M446">
        <f t="shared" si="41"/>
        <v>-1.9940282216510705E-2</v>
      </c>
    </row>
    <row r="447" spans="1:13" x14ac:dyDescent="0.2">
      <c r="A447" s="6">
        <v>45310</v>
      </c>
      <c r="B447" s="7">
        <v>57.08</v>
      </c>
      <c r="C447" s="7">
        <v>151.15</v>
      </c>
      <c r="D447" s="7">
        <v>398.56</v>
      </c>
      <c r="E447" s="7">
        <v>153.5</v>
      </c>
      <c r="F447" s="7">
        <v>54.14</v>
      </c>
      <c r="G447" s="7">
        <v>340.08</v>
      </c>
      <c r="H447">
        <f t="shared" si="36"/>
        <v>-4.0850024961315977E-2</v>
      </c>
      <c r="I447">
        <f t="shared" si="37"/>
        <v>-8.6295453346606314E-3</v>
      </c>
      <c r="J447">
        <f t="shared" si="38"/>
        <v>2.3864261422973576E-3</v>
      </c>
      <c r="K447">
        <f t="shared" si="39"/>
        <v>-1.191569596424945E-2</v>
      </c>
      <c r="L447">
        <f t="shared" si="40"/>
        <v>2.2189358216854809E-3</v>
      </c>
      <c r="M447">
        <f t="shared" si="41"/>
        <v>1.1653144202114267E-2</v>
      </c>
    </row>
    <row r="448" spans="1:13" x14ac:dyDescent="0.2">
      <c r="A448" s="6">
        <v>45309</v>
      </c>
      <c r="B448" s="7">
        <v>56.02</v>
      </c>
      <c r="C448" s="7">
        <v>150.83000000000001</v>
      </c>
      <c r="D448" s="7">
        <v>391.73</v>
      </c>
      <c r="E448" s="7">
        <v>151.71</v>
      </c>
      <c r="F448" s="7">
        <v>53.96</v>
      </c>
      <c r="G448" s="7">
        <v>338.75</v>
      </c>
      <c r="H448">
        <f t="shared" si="36"/>
        <v>-1.874502277667316E-2</v>
      </c>
      <c r="I448">
        <f t="shared" si="37"/>
        <v>-2.1193464453060709E-3</v>
      </c>
      <c r="J448">
        <f t="shared" si="38"/>
        <v>-1.7285224548440867E-2</v>
      </c>
      <c r="K448">
        <f t="shared" si="39"/>
        <v>-1.1729763267250471E-2</v>
      </c>
      <c r="L448">
        <f t="shared" si="40"/>
        <v>-3.3302528465999782E-3</v>
      </c>
      <c r="M448">
        <f t="shared" si="41"/>
        <v>-3.9185118566239649E-3</v>
      </c>
    </row>
    <row r="449" spans="1:13" x14ac:dyDescent="0.2">
      <c r="A449" s="6">
        <v>45308</v>
      </c>
      <c r="B449" s="7">
        <v>56.35</v>
      </c>
      <c r="C449" s="7">
        <v>147.68</v>
      </c>
      <c r="D449" s="7">
        <v>390.77</v>
      </c>
      <c r="E449" s="7">
        <v>153.16</v>
      </c>
      <c r="F449" s="7">
        <v>53.7</v>
      </c>
      <c r="G449" s="7">
        <v>338.37</v>
      </c>
      <c r="H449">
        <f t="shared" si="36"/>
        <v>5.8734706538228106E-3</v>
      </c>
      <c r="I449">
        <f t="shared" si="37"/>
        <v>-2.1105604025618889E-2</v>
      </c>
      <c r="J449">
        <f t="shared" si="38"/>
        <v>-2.453675352439118E-3</v>
      </c>
      <c r="K449">
        <f t="shared" si="39"/>
        <v>9.5123228490922689E-3</v>
      </c>
      <c r="L449">
        <f t="shared" si="40"/>
        <v>-4.8300298247360403E-3</v>
      </c>
      <c r="M449">
        <f t="shared" si="41"/>
        <v>-1.122400873975513E-3</v>
      </c>
    </row>
    <row r="450" spans="1:13" x14ac:dyDescent="0.2">
      <c r="A450" s="6">
        <v>45307</v>
      </c>
      <c r="B450" s="7">
        <v>54.68</v>
      </c>
      <c r="C450" s="7">
        <v>146.03</v>
      </c>
      <c r="D450" s="7">
        <v>388.31</v>
      </c>
      <c r="E450" s="7">
        <v>154.62</v>
      </c>
      <c r="F450" s="7">
        <v>53.24</v>
      </c>
      <c r="G450" s="7">
        <v>334.25</v>
      </c>
      <c r="H450">
        <f t="shared" si="36"/>
        <v>-3.0084228630036545E-2</v>
      </c>
      <c r="I450">
        <f t="shared" si="37"/>
        <v>-1.1235690702161983E-2</v>
      </c>
      <c r="J450">
        <f t="shared" si="38"/>
        <v>-6.3151619234351492E-3</v>
      </c>
      <c r="K450">
        <f t="shared" si="39"/>
        <v>9.48736728323505E-3</v>
      </c>
      <c r="L450">
        <f t="shared" si="40"/>
        <v>-8.6030079879081678E-3</v>
      </c>
      <c r="M450">
        <f t="shared" si="41"/>
        <v>-1.2250755337882641E-2</v>
      </c>
    </row>
    <row r="451" spans="1:13" x14ac:dyDescent="0.2">
      <c r="A451" s="6">
        <v>45303</v>
      </c>
      <c r="B451" s="7">
        <v>54.79</v>
      </c>
      <c r="C451" s="7">
        <v>144.99</v>
      </c>
      <c r="D451" s="7">
        <v>382.84</v>
      </c>
      <c r="E451" s="7">
        <v>155.18</v>
      </c>
      <c r="F451" s="7">
        <v>52.47</v>
      </c>
      <c r="G451" s="7">
        <v>330.72</v>
      </c>
      <c r="H451">
        <f t="shared" si="36"/>
        <v>2.0096836945755212E-3</v>
      </c>
      <c r="I451">
        <f t="shared" si="37"/>
        <v>-7.1473055272776483E-3</v>
      </c>
      <c r="J451">
        <f t="shared" si="38"/>
        <v>-1.418684236184958E-2</v>
      </c>
      <c r="K451">
        <f t="shared" si="39"/>
        <v>3.6152395734744994E-3</v>
      </c>
      <c r="L451">
        <f t="shared" si="40"/>
        <v>-1.4568415828290498E-2</v>
      </c>
      <c r="M451">
        <f t="shared" si="41"/>
        <v>-1.0617120048594391E-2</v>
      </c>
    </row>
    <row r="452" spans="1:13" x14ac:dyDescent="0.2">
      <c r="A452" s="6">
        <v>45302</v>
      </c>
      <c r="B452" s="7">
        <v>54.32</v>
      </c>
      <c r="C452" s="7">
        <v>145.38</v>
      </c>
      <c r="D452" s="7">
        <v>379.44</v>
      </c>
      <c r="E452" s="7">
        <v>153.72999999999999</v>
      </c>
      <c r="F452" s="7">
        <v>53.22</v>
      </c>
      <c r="G452" s="7">
        <v>334.06</v>
      </c>
      <c r="H452">
        <f t="shared" ref="H452:H515" si="42">LN(B452/B451)</f>
        <v>-8.6152122998835977E-3</v>
      </c>
      <c r="I452">
        <f t="shared" ref="I452:I515" si="43">LN(C452/C451)</f>
        <v>2.6862295313869865E-3</v>
      </c>
      <c r="J452">
        <f t="shared" ref="J452:J515" si="44">LN(D452/D451)</f>
        <v>-8.9206657583793762E-3</v>
      </c>
      <c r="K452">
        <f t="shared" ref="K452:K515" si="45">LN(E452/E451)</f>
        <v>-9.3879165412952218E-3</v>
      </c>
      <c r="L452">
        <f t="shared" ref="L452:L515" si="46">LN(F452/F451)</f>
        <v>1.4192687850922647E-2</v>
      </c>
      <c r="M452">
        <f t="shared" ref="M452:M515" si="47">LN(G452/G451)</f>
        <v>1.004852162834328E-2</v>
      </c>
    </row>
    <row r="453" spans="1:13" x14ac:dyDescent="0.2">
      <c r="A453" s="6">
        <v>45301</v>
      </c>
      <c r="B453" s="7">
        <v>53.11</v>
      </c>
      <c r="C453" s="7">
        <v>142.5</v>
      </c>
      <c r="D453" s="7">
        <v>381.1</v>
      </c>
      <c r="E453" s="7">
        <v>151.37</v>
      </c>
      <c r="F453" s="7">
        <v>53.09</v>
      </c>
      <c r="G453" s="7">
        <v>339.69</v>
      </c>
      <c r="H453">
        <f t="shared" si="42"/>
        <v>-2.2527248816132932E-2</v>
      </c>
      <c r="I453">
        <f t="shared" si="43"/>
        <v>-2.000900434778409E-2</v>
      </c>
      <c r="J453">
        <f t="shared" si="44"/>
        <v>4.365326310488353E-3</v>
      </c>
      <c r="K453">
        <f t="shared" si="45"/>
        <v>-1.5470646150034149E-2</v>
      </c>
      <c r="L453">
        <f t="shared" si="46"/>
        <v>-2.4456789539628763E-3</v>
      </c>
      <c r="M453">
        <f t="shared" si="47"/>
        <v>1.6712819432256346E-2</v>
      </c>
    </row>
    <row r="454" spans="1:13" x14ac:dyDescent="0.2">
      <c r="A454" s="6">
        <v>45300</v>
      </c>
      <c r="B454" s="7">
        <v>52.22</v>
      </c>
      <c r="C454" s="7">
        <v>140.5</v>
      </c>
      <c r="D454" s="7">
        <v>373.83</v>
      </c>
      <c r="E454" s="7">
        <v>149.1</v>
      </c>
      <c r="F454" s="7">
        <v>53.09</v>
      </c>
      <c r="G454" s="7">
        <v>345.14</v>
      </c>
      <c r="H454">
        <f t="shared" si="42"/>
        <v>-1.6899671163324973E-2</v>
      </c>
      <c r="I454">
        <f t="shared" si="43"/>
        <v>-1.4134510934904806E-2</v>
      </c>
      <c r="J454">
        <f t="shared" si="44"/>
        <v>-1.9260659256928731E-2</v>
      </c>
      <c r="K454">
        <f t="shared" si="45"/>
        <v>-1.5109949003781157E-2</v>
      </c>
      <c r="L454">
        <f t="shared" si="46"/>
        <v>0</v>
      </c>
      <c r="M454">
        <f t="shared" si="47"/>
        <v>1.591669482537502E-2</v>
      </c>
    </row>
    <row r="455" spans="1:13" x14ac:dyDescent="0.2">
      <c r="A455" s="6">
        <v>45299</v>
      </c>
      <c r="B455" s="7">
        <v>49.07</v>
      </c>
      <c r="C455" s="7">
        <v>141.51</v>
      </c>
      <c r="D455" s="7">
        <v>366.11</v>
      </c>
      <c r="E455" s="7">
        <v>145.24</v>
      </c>
      <c r="F455" s="7">
        <v>53.37</v>
      </c>
      <c r="G455" s="7">
        <v>340.85</v>
      </c>
      <c r="H455">
        <f t="shared" si="42"/>
        <v>-6.2217713169170685E-2</v>
      </c>
      <c r="I455">
        <f t="shared" si="43"/>
        <v>7.1628971904794661E-3</v>
      </c>
      <c r="J455">
        <f t="shared" si="44"/>
        <v>-2.0867313928468585E-2</v>
      </c>
      <c r="K455">
        <f t="shared" si="45"/>
        <v>-2.6229675224557651E-2</v>
      </c>
      <c r="L455">
        <f t="shared" si="46"/>
        <v>5.2602037502732122E-3</v>
      </c>
      <c r="M455">
        <f t="shared" si="47"/>
        <v>-1.2507634010638504E-2</v>
      </c>
    </row>
    <row r="456" spans="1:13" x14ac:dyDescent="0.2">
      <c r="A456" s="6">
        <v>45296</v>
      </c>
      <c r="B456" s="7">
        <v>47.97</v>
      </c>
      <c r="C456" s="7">
        <v>141.66999999999999</v>
      </c>
      <c r="D456" s="7">
        <v>365.21</v>
      </c>
      <c r="E456" s="7">
        <v>144.57</v>
      </c>
      <c r="F456" s="7">
        <v>52.66</v>
      </c>
      <c r="G456" s="7">
        <v>338.75</v>
      </c>
      <c r="H456">
        <f t="shared" si="42"/>
        <v>-2.2672034587839462E-2</v>
      </c>
      <c r="I456">
        <f t="shared" si="43"/>
        <v>1.1300234269796259E-3</v>
      </c>
      <c r="J456">
        <f t="shared" si="44"/>
        <v>-2.4613040921930801E-3</v>
      </c>
      <c r="K456">
        <f t="shared" si="45"/>
        <v>-4.623727225784034E-3</v>
      </c>
      <c r="L456">
        <f t="shared" si="46"/>
        <v>-1.3392636277690112E-2</v>
      </c>
      <c r="M456">
        <f t="shared" si="47"/>
        <v>-6.1801256148837106E-3</v>
      </c>
    </row>
    <row r="457" spans="1:13" x14ac:dyDescent="0.2">
      <c r="A457" s="6">
        <v>45295</v>
      </c>
      <c r="B457" s="7">
        <v>47.54</v>
      </c>
      <c r="C457" s="7">
        <v>141.11000000000001</v>
      </c>
      <c r="D457" s="7">
        <v>372.2</v>
      </c>
      <c r="E457" s="7">
        <v>148.47</v>
      </c>
      <c r="F457" s="7">
        <v>52.91</v>
      </c>
      <c r="G457" s="7">
        <v>341.35</v>
      </c>
      <c r="H457">
        <f t="shared" si="42"/>
        <v>-9.0043535819246956E-3</v>
      </c>
      <c r="I457">
        <f t="shared" si="43"/>
        <v>-3.9606813215900981E-3</v>
      </c>
      <c r="J457">
        <f t="shared" si="44"/>
        <v>1.8958813605926293E-2</v>
      </c>
      <c r="K457">
        <f t="shared" si="45"/>
        <v>2.6619098311553381E-2</v>
      </c>
      <c r="L457">
        <f t="shared" si="46"/>
        <v>4.7362028478770508E-3</v>
      </c>
      <c r="M457">
        <f t="shared" si="47"/>
        <v>7.6459716703788164E-3</v>
      </c>
    </row>
    <row r="458" spans="1:13" x14ac:dyDescent="0.2">
      <c r="A458" s="6">
        <v>45294</v>
      </c>
      <c r="B458" s="7">
        <v>48.14</v>
      </c>
      <c r="C458" s="7">
        <v>141.31</v>
      </c>
      <c r="D458" s="7">
        <v>367.41</v>
      </c>
      <c r="E458" s="7">
        <v>149.93</v>
      </c>
      <c r="F458" s="7">
        <v>52.74</v>
      </c>
      <c r="G458" s="7">
        <v>338.76</v>
      </c>
      <c r="H458">
        <f t="shared" si="42"/>
        <v>1.2541970422878013E-2</v>
      </c>
      <c r="I458">
        <f t="shared" si="43"/>
        <v>1.4163305249854828E-3</v>
      </c>
      <c r="J458">
        <f t="shared" si="44"/>
        <v>-1.2952953506844663E-2</v>
      </c>
      <c r="K458">
        <f t="shared" si="45"/>
        <v>9.7856008749074384E-3</v>
      </c>
      <c r="L458">
        <f t="shared" si="46"/>
        <v>-3.2181759908996204E-3</v>
      </c>
      <c r="M458">
        <f t="shared" si="47"/>
        <v>-7.616451810891163E-3</v>
      </c>
    </row>
    <row r="459" spans="1:13" x14ac:dyDescent="0.2">
      <c r="A459" s="6">
        <v>45293</v>
      </c>
      <c r="B459" s="7">
        <v>49.49</v>
      </c>
      <c r="C459" s="7">
        <v>139.97999999999999</v>
      </c>
      <c r="D459" s="7">
        <v>368.2</v>
      </c>
      <c r="E459" s="7">
        <v>151.94</v>
      </c>
      <c r="F459" s="7">
        <v>52.67</v>
      </c>
      <c r="G459" s="7">
        <v>339.54</v>
      </c>
      <c r="H459">
        <f t="shared" si="42"/>
        <v>2.7657196608868864E-2</v>
      </c>
      <c r="I459">
        <f t="shared" si="43"/>
        <v>-9.4565033332613541E-3</v>
      </c>
      <c r="J459">
        <f t="shared" si="44"/>
        <v>2.1478780976716344E-3</v>
      </c>
      <c r="K459">
        <f t="shared" si="45"/>
        <v>1.3317187568263743E-2</v>
      </c>
      <c r="L459">
        <f t="shared" si="46"/>
        <v>-1.3281474298426662E-3</v>
      </c>
      <c r="M459">
        <f t="shared" si="47"/>
        <v>2.2998683290893752E-3</v>
      </c>
    </row>
    <row r="460" spans="1:13" x14ac:dyDescent="0.2">
      <c r="A460" s="6">
        <v>45289</v>
      </c>
      <c r="B460" s="7">
        <v>49.49</v>
      </c>
      <c r="C460" s="7">
        <v>137.88999999999999</v>
      </c>
      <c r="D460" s="7">
        <v>355.24</v>
      </c>
      <c r="E460" s="7">
        <v>153.38</v>
      </c>
      <c r="F460" s="7">
        <v>52.73</v>
      </c>
      <c r="G460" s="7">
        <v>339.8</v>
      </c>
      <c r="H460">
        <f t="shared" si="42"/>
        <v>0</v>
      </c>
      <c r="I460">
        <f t="shared" si="43"/>
        <v>-1.5043289407743802E-2</v>
      </c>
      <c r="J460">
        <f t="shared" si="44"/>
        <v>-3.5832651408674095E-2</v>
      </c>
      <c r="K460">
        <f t="shared" si="45"/>
        <v>9.4327962616376111E-3</v>
      </c>
      <c r="L460">
        <f t="shared" si="46"/>
        <v>1.1385200470803397E-3</v>
      </c>
      <c r="M460">
        <f t="shared" si="47"/>
        <v>7.6544885534415418E-4</v>
      </c>
    </row>
    <row r="461" spans="1:13" x14ac:dyDescent="0.2">
      <c r="A461" s="6">
        <v>45288</v>
      </c>
      <c r="B461" s="7">
        <v>49.39</v>
      </c>
      <c r="C461" s="7">
        <v>134.80000000000001</v>
      </c>
      <c r="D461" s="7">
        <v>356.46</v>
      </c>
      <c r="E461" s="7">
        <v>153.34</v>
      </c>
      <c r="F461" s="7">
        <v>52.08</v>
      </c>
      <c r="G461" s="7">
        <v>329.69</v>
      </c>
      <c r="H461">
        <f t="shared" si="42"/>
        <v>-2.0226544112612777E-3</v>
      </c>
      <c r="I461">
        <f t="shared" si="43"/>
        <v>-2.2664067375442975E-2</v>
      </c>
      <c r="J461">
        <f t="shared" si="44"/>
        <v>3.4284142054015563E-3</v>
      </c>
      <c r="K461">
        <f t="shared" si="45"/>
        <v>-2.6082420596471744E-4</v>
      </c>
      <c r="L461">
        <f t="shared" si="46"/>
        <v>-1.2403555642064532E-2</v>
      </c>
      <c r="M461">
        <f t="shared" si="47"/>
        <v>-3.0204390223707408E-2</v>
      </c>
    </row>
    <row r="462" spans="1:13" x14ac:dyDescent="0.2">
      <c r="A462" s="6">
        <v>45287</v>
      </c>
      <c r="B462" s="7">
        <v>49.25</v>
      </c>
      <c r="C462" s="7">
        <v>135.46</v>
      </c>
      <c r="D462" s="7">
        <v>349.79</v>
      </c>
      <c r="E462" s="7">
        <v>153.41</v>
      </c>
      <c r="F462" s="7">
        <v>51.74</v>
      </c>
      <c r="G462" s="7">
        <v>331.35</v>
      </c>
      <c r="H462">
        <f t="shared" si="42"/>
        <v>-2.8386069344355611E-3</v>
      </c>
      <c r="I462">
        <f t="shared" si="43"/>
        <v>4.8841953085508446E-3</v>
      </c>
      <c r="J462">
        <f t="shared" si="44"/>
        <v>-1.8889057184277983E-2</v>
      </c>
      <c r="K462">
        <f t="shared" si="45"/>
        <v>4.5639772593370008E-4</v>
      </c>
      <c r="L462">
        <f t="shared" si="46"/>
        <v>-6.5498211424306922E-3</v>
      </c>
      <c r="M462">
        <f t="shared" si="47"/>
        <v>5.0223995201116017E-3</v>
      </c>
    </row>
    <row r="463" spans="1:13" x14ac:dyDescent="0.2">
      <c r="A463" s="6">
        <v>45286</v>
      </c>
      <c r="B463" s="7">
        <v>48.8</v>
      </c>
      <c r="C463" s="7">
        <v>137.97</v>
      </c>
      <c r="D463" s="7">
        <v>344.99</v>
      </c>
      <c r="E463" s="7">
        <v>153.41999999999999</v>
      </c>
      <c r="F463" s="7">
        <v>51.23</v>
      </c>
      <c r="G463" s="7">
        <v>326.60000000000002</v>
      </c>
      <c r="H463">
        <f t="shared" si="42"/>
        <v>-9.1790547589964671E-3</v>
      </c>
      <c r="I463">
        <f t="shared" si="43"/>
        <v>1.8359876433184572E-2</v>
      </c>
      <c r="J463">
        <f t="shared" si="44"/>
        <v>-1.3817543307401533E-2</v>
      </c>
      <c r="K463">
        <f t="shared" si="45"/>
        <v>6.5182674468143107E-5</v>
      </c>
      <c r="L463">
        <f t="shared" si="46"/>
        <v>-9.9058788067722878E-3</v>
      </c>
      <c r="M463">
        <f t="shared" si="47"/>
        <v>-1.4439037997871121E-2</v>
      </c>
    </row>
    <row r="464" spans="1:13" x14ac:dyDescent="0.2">
      <c r="A464" s="6">
        <v>45282</v>
      </c>
      <c r="B464" s="7">
        <v>48.96</v>
      </c>
      <c r="C464" s="7">
        <v>137.22</v>
      </c>
      <c r="D464" s="7">
        <v>342.36</v>
      </c>
      <c r="E464" s="7">
        <v>153.84</v>
      </c>
      <c r="F464" s="7">
        <v>51.58</v>
      </c>
      <c r="G464" s="7">
        <v>322.45999999999998</v>
      </c>
      <c r="H464">
        <f t="shared" si="42"/>
        <v>3.2733253449693297E-3</v>
      </c>
      <c r="I464">
        <f t="shared" si="43"/>
        <v>-5.4507929571974232E-3</v>
      </c>
      <c r="J464">
        <f t="shared" si="44"/>
        <v>-7.6526160906164572E-3</v>
      </c>
      <c r="K464">
        <f t="shared" si="45"/>
        <v>2.7338427493740778E-3</v>
      </c>
      <c r="L464">
        <f t="shared" si="46"/>
        <v>6.8087025020877219E-3</v>
      </c>
      <c r="M464">
        <f t="shared" si="47"/>
        <v>-1.275708300077111E-2</v>
      </c>
    </row>
    <row r="465" spans="1:13" x14ac:dyDescent="0.2">
      <c r="A465" s="6">
        <v>45281</v>
      </c>
      <c r="B465" s="7">
        <v>48.08</v>
      </c>
      <c r="C465" s="7">
        <v>138.72999999999999</v>
      </c>
      <c r="D465" s="7">
        <v>344.17</v>
      </c>
      <c r="E465" s="7">
        <v>152.12</v>
      </c>
      <c r="F465" s="7">
        <v>52.08</v>
      </c>
      <c r="G465" s="7">
        <v>322.14</v>
      </c>
      <c r="H465">
        <f t="shared" si="42"/>
        <v>-1.8137347977118551E-2</v>
      </c>
      <c r="I465">
        <f t="shared" si="43"/>
        <v>1.0944120829889341E-2</v>
      </c>
      <c r="J465">
        <f t="shared" si="44"/>
        <v>5.2729063367918825E-3</v>
      </c>
      <c r="K465">
        <f t="shared" si="45"/>
        <v>-1.1243418220465358E-2</v>
      </c>
      <c r="L465">
        <f t="shared" si="46"/>
        <v>9.6469974471150837E-3</v>
      </c>
      <c r="M465">
        <f t="shared" si="47"/>
        <v>-9.928638730605263E-4</v>
      </c>
    </row>
    <row r="466" spans="1:13" x14ac:dyDescent="0.2">
      <c r="A466" s="6">
        <v>45280</v>
      </c>
      <c r="B466" s="7">
        <v>49.58</v>
      </c>
      <c r="C466" s="7">
        <v>139.27000000000001</v>
      </c>
      <c r="D466" s="7">
        <v>351.79</v>
      </c>
      <c r="E466" s="7">
        <v>153.79</v>
      </c>
      <c r="F466" s="7">
        <v>52.08</v>
      </c>
      <c r="G466" s="7">
        <v>328.64</v>
      </c>
      <c r="H466">
        <f t="shared" si="42"/>
        <v>3.072123638009228E-2</v>
      </c>
      <c r="I466">
        <f t="shared" si="43"/>
        <v>3.8848969723665337E-3</v>
      </c>
      <c r="J466">
        <f t="shared" si="44"/>
        <v>2.1898685307637524E-2</v>
      </c>
      <c r="K466">
        <f t="shared" si="45"/>
        <v>1.0918352391773245E-2</v>
      </c>
      <c r="L466">
        <f t="shared" si="46"/>
        <v>0</v>
      </c>
      <c r="M466">
        <f t="shared" si="47"/>
        <v>1.9976693077660274E-2</v>
      </c>
    </row>
    <row r="467" spans="1:13" x14ac:dyDescent="0.2">
      <c r="A467" s="6">
        <v>45279</v>
      </c>
      <c r="B467" s="7">
        <v>50.05</v>
      </c>
      <c r="C467" s="7">
        <v>139.41</v>
      </c>
      <c r="D467" s="7">
        <v>356.12</v>
      </c>
      <c r="E467" s="7">
        <v>154.07</v>
      </c>
      <c r="F467" s="7">
        <v>51.54</v>
      </c>
      <c r="G467" s="7">
        <v>330.04</v>
      </c>
      <c r="H467">
        <f t="shared" si="42"/>
        <v>9.4349791541851885E-3</v>
      </c>
      <c r="I467">
        <f t="shared" si="43"/>
        <v>1.00473669999589E-3</v>
      </c>
      <c r="J467">
        <f t="shared" si="44"/>
        <v>1.2233346047632042E-2</v>
      </c>
      <c r="K467">
        <f t="shared" si="45"/>
        <v>1.8190091418514513E-3</v>
      </c>
      <c r="L467">
        <f t="shared" si="46"/>
        <v>-1.0422792676094837E-2</v>
      </c>
      <c r="M467">
        <f t="shared" si="47"/>
        <v>4.250932495949186E-3</v>
      </c>
    </row>
    <row r="468" spans="1:13" x14ac:dyDescent="0.2">
      <c r="A468" s="6">
        <v>45278</v>
      </c>
      <c r="B468" s="7">
        <v>48.86</v>
      </c>
      <c r="C468" s="7">
        <v>140.55000000000001</v>
      </c>
      <c r="D468" s="7">
        <v>355.64</v>
      </c>
      <c r="E468" s="7">
        <v>149.97</v>
      </c>
      <c r="F468" s="7">
        <v>51.51</v>
      </c>
      <c r="G468" s="7">
        <v>330.81</v>
      </c>
      <c r="H468">
        <f t="shared" si="42"/>
        <v>-2.4063439931635084E-2</v>
      </c>
      <c r="I468">
        <f t="shared" si="43"/>
        <v>8.1440655875442743E-3</v>
      </c>
      <c r="J468">
        <f t="shared" si="44"/>
        <v>-1.3487694525322579E-3</v>
      </c>
      <c r="K468">
        <f t="shared" si="45"/>
        <v>-2.6971770500094857E-2</v>
      </c>
      <c r="L468">
        <f t="shared" si="46"/>
        <v>-5.8224164672515157E-4</v>
      </c>
      <c r="M468">
        <f t="shared" si="47"/>
        <v>2.3303332025542156E-3</v>
      </c>
    </row>
    <row r="469" spans="1:13" x14ac:dyDescent="0.2">
      <c r="A469" s="6">
        <v>45275</v>
      </c>
      <c r="B469" s="7">
        <v>48.32</v>
      </c>
      <c r="C469" s="7">
        <v>140.52000000000001</v>
      </c>
      <c r="D469" s="7">
        <v>352.66</v>
      </c>
      <c r="E469" s="7">
        <v>147.41999999999999</v>
      </c>
      <c r="F469" s="7">
        <v>51.62</v>
      </c>
      <c r="G469" s="7">
        <v>331.92</v>
      </c>
      <c r="H469">
        <f t="shared" si="42"/>
        <v>-1.111351220303488E-2</v>
      </c>
      <c r="I469">
        <f t="shared" si="43"/>
        <v>-2.1346995491466035E-4</v>
      </c>
      <c r="J469">
        <f t="shared" si="44"/>
        <v>-8.414563273160652E-3</v>
      </c>
      <c r="K469">
        <f t="shared" si="45"/>
        <v>-1.7149618332445968E-2</v>
      </c>
      <c r="L469">
        <f t="shared" si="46"/>
        <v>2.1332307129740239E-3</v>
      </c>
      <c r="M469">
        <f t="shared" si="47"/>
        <v>3.3497835859156912E-3</v>
      </c>
    </row>
    <row r="470" spans="1:13" x14ac:dyDescent="0.2">
      <c r="A470" s="6">
        <v>45274</v>
      </c>
      <c r="B470" s="7">
        <v>48.06</v>
      </c>
      <c r="C470" s="7">
        <v>139.46</v>
      </c>
      <c r="D470" s="7">
        <v>351.22</v>
      </c>
      <c r="E470" s="7">
        <v>148.84</v>
      </c>
      <c r="F470" s="7">
        <v>51.13</v>
      </c>
      <c r="G470" s="7">
        <v>332.66</v>
      </c>
      <c r="H470">
        <f t="shared" si="42"/>
        <v>-5.395323318236612E-3</v>
      </c>
      <c r="I470">
        <f t="shared" si="43"/>
        <v>-7.5720056047616745E-3</v>
      </c>
      <c r="J470">
        <f t="shared" si="44"/>
        <v>-4.0916122320688152E-3</v>
      </c>
      <c r="K470">
        <f t="shared" si="45"/>
        <v>9.5862477172790877E-3</v>
      </c>
      <c r="L470">
        <f t="shared" si="46"/>
        <v>-9.5377851985598804E-3</v>
      </c>
      <c r="M470">
        <f t="shared" si="47"/>
        <v>2.226971337776348E-3</v>
      </c>
    </row>
    <row r="471" spans="1:13" x14ac:dyDescent="0.2">
      <c r="A471" s="6">
        <v>45273</v>
      </c>
      <c r="B471" s="7">
        <v>47.63</v>
      </c>
      <c r="C471" s="7">
        <v>137.38999999999999</v>
      </c>
      <c r="D471" s="7">
        <v>351.92</v>
      </c>
      <c r="E471" s="7">
        <v>147.47999999999999</v>
      </c>
      <c r="F471" s="7">
        <v>51.21</v>
      </c>
      <c r="G471" s="7">
        <v>331.98</v>
      </c>
      <c r="H471">
        <f t="shared" si="42"/>
        <v>-8.9874154955538153E-3</v>
      </c>
      <c r="I471">
        <f t="shared" si="43"/>
        <v>-1.4954224857007922E-2</v>
      </c>
      <c r="J471">
        <f t="shared" si="44"/>
        <v>1.9910692927556295E-3</v>
      </c>
      <c r="K471">
        <f t="shared" si="45"/>
        <v>-9.1793301124780749E-3</v>
      </c>
      <c r="L471">
        <f t="shared" si="46"/>
        <v>1.5634163825509564E-3</v>
      </c>
      <c r="M471">
        <f t="shared" si="47"/>
        <v>-2.0462212243155475E-3</v>
      </c>
    </row>
    <row r="472" spans="1:13" x14ac:dyDescent="0.2">
      <c r="A472" s="6">
        <v>45272</v>
      </c>
      <c r="B472" s="7">
        <v>46.6</v>
      </c>
      <c r="C472" s="7">
        <v>135.71</v>
      </c>
      <c r="D472" s="7">
        <v>347.14</v>
      </c>
      <c r="E472" s="7">
        <v>145.88999999999999</v>
      </c>
      <c r="F472" s="7">
        <v>50.61</v>
      </c>
      <c r="G472" s="7">
        <v>332.34</v>
      </c>
      <c r="H472">
        <f t="shared" si="42"/>
        <v>-2.1862273681168842E-2</v>
      </c>
      <c r="I472">
        <f t="shared" si="43"/>
        <v>-1.2303340842577382E-2</v>
      </c>
      <c r="J472">
        <f t="shared" si="44"/>
        <v>-1.3675720247728862E-2</v>
      </c>
      <c r="K472">
        <f t="shared" si="45"/>
        <v>-1.083966028213962E-2</v>
      </c>
      <c r="L472">
        <f t="shared" si="46"/>
        <v>-1.1785640248472338E-2</v>
      </c>
      <c r="M472">
        <f t="shared" si="47"/>
        <v>1.0838151349939818E-3</v>
      </c>
    </row>
    <row r="473" spans="1:13" x14ac:dyDescent="0.2">
      <c r="A473" s="6">
        <v>45271</v>
      </c>
      <c r="B473" s="7">
        <v>47.48</v>
      </c>
      <c r="C473" s="7">
        <v>134.87</v>
      </c>
      <c r="D473" s="7">
        <v>348.21</v>
      </c>
      <c r="E473" s="7">
        <v>147.41999999999999</v>
      </c>
      <c r="F473" s="7">
        <v>50.25</v>
      </c>
      <c r="G473" s="7">
        <v>332.05</v>
      </c>
      <c r="H473">
        <f t="shared" si="42"/>
        <v>1.8708028609866905E-2</v>
      </c>
      <c r="I473">
        <f t="shared" si="43"/>
        <v>-6.2089045645131336E-3</v>
      </c>
      <c r="J473">
        <f t="shared" si="44"/>
        <v>3.0775892559053103E-3</v>
      </c>
      <c r="K473">
        <f t="shared" si="45"/>
        <v>1.0432742677338637E-2</v>
      </c>
      <c r="L473">
        <f t="shared" si="46"/>
        <v>-7.1386382868014664E-3</v>
      </c>
      <c r="M473">
        <f t="shared" si="47"/>
        <v>-8.7298128634473113E-4</v>
      </c>
    </row>
    <row r="474" spans="1:13" x14ac:dyDescent="0.2">
      <c r="A474" s="6">
        <v>45268</v>
      </c>
      <c r="B474" s="7">
        <v>46.57</v>
      </c>
      <c r="C474" s="7">
        <v>131.69</v>
      </c>
      <c r="D474" s="7">
        <v>342.51</v>
      </c>
      <c r="E474" s="7">
        <v>146.88</v>
      </c>
      <c r="F474" s="7">
        <v>50.85</v>
      </c>
      <c r="G474" s="7">
        <v>335.29</v>
      </c>
      <c r="H474">
        <f t="shared" si="42"/>
        <v>-1.9352012747181367E-2</v>
      </c>
      <c r="I474">
        <f t="shared" si="43"/>
        <v>-2.3860675806637584E-2</v>
      </c>
      <c r="J474">
        <f t="shared" si="44"/>
        <v>-1.650489169229544E-2</v>
      </c>
      <c r="K474">
        <f t="shared" si="45"/>
        <v>-3.6697288889624017E-3</v>
      </c>
      <c r="L474">
        <f t="shared" si="46"/>
        <v>1.1869575555383947E-2</v>
      </c>
      <c r="M474">
        <f t="shared" si="47"/>
        <v>9.7102690025400278E-3</v>
      </c>
    </row>
    <row r="475" spans="1:13" x14ac:dyDescent="0.2">
      <c r="A475" s="6">
        <v>45267</v>
      </c>
      <c r="B475" s="7">
        <v>45.48</v>
      </c>
      <c r="C475" s="7">
        <v>131.04</v>
      </c>
      <c r="D475" s="7">
        <v>332.87</v>
      </c>
      <c r="E475" s="7">
        <v>144.52000000000001</v>
      </c>
      <c r="F475" s="7">
        <v>50.66</v>
      </c>
      <c r="G475" s="7">
        <v>334.09</v>
      </c>
      <c r="H475">
        <f t="shared" si="42"/>
        <v>-2.3683888111950619E-2</v>
      </c>
      <c r="I475">
        <f t="shared" si="43"/>
        <v>-4.9480556173695251E-3</v>
      </c>
      <c r="J475">
        <f t="shared" si="44"/>
        <v>-2.8548830988458763E-2</v>
      </c>
      <c r="K475">
        <f t="shared" si="45"/>
        <v>-1.6198020592740725E-2</v>
      </c>
      <c r="L475">
        <f t="shared" si="46"/>
        <v>-3.7434779210399299E-3</v>
      </c>
      <c r="M475">
        <f t="shared" si="47"/>
        <v>-3.5854112328337971E-3</v>
      </c>
    </row>
    <row r="476" spans="1:13" x14ac:dyDescent="0.2">
      <c r="A476" s="6">
        <v>45265</v>
      </c>
      <c r="B476" s="7">
        <v>46.54</v>
      </c>
      <c r="C476" s="7">
        <v>131.66</v>
      </c>
      <c r="D476" s="7">
        <v>331.13</v>
      </c>
      <c r="E476" s="7">
        <v>146.88</v>
      </c>
      <c r="F476" s="7">
        <v>49.93</v>
      </c>
      <c r="G476" s="7">
        <v>337.13</v>
      </c>
      <c r="H476">
        <f t="shared" si="42"/>
        <v>2.303948899181054E-2</v>
      </c>
      <c r="I476">
        <f t="shared" si="43"/>
        <v>4.7202219349713331E-3</v>
      </c>
      <c r="J476">
        <f t="shared" si="44"/>
        <v>-5.2409758519072732E-3</v>
      </c>
      <c r="K476">
        <f t="shared" si="45"/>
        <v>1.6198020592740791E-2</v>
      </c>
      <c r="L476">
        <f t="shared" si="46"/>
        <v>-1.451462006101115E-2</v>
      </c>
      <c r="M476">
        <f t="shared" si="47"/>
        <v>9.0581948875130148E-3</v>
      </c>
    </row>
    <row r="477" spans="1:13" x14ac:dyDescent="0.2">
      <c r="A477" s="6">
        <v>45265</v>
      </c>
      <c r="B477" s="7">
        <v>45.48</v>
      </c>
      <c r="C477" s="7">
        <v>131.61000000000001</v>
      </c>
      <c r="D477" s="7">
        <v>332.69</v>
      </c>
      <c r="E477" s="7">
        <v>144.84</v>
      </c>
      <c r="F477" s="7">
        <v>49.75</v>
      </c>
      <c r="G477" s="7">
        <v>335.05</v>
      </c>
      <c r="H477">
        <f t="shared" si="42"/>
        <v>-2.3039488991810426E-2</v>
      </c>
      <c r="I477">
        <f t="shared" si="43"/>
        <v>-3.7983819349822343E-4</v>
      </c>
      <c r="J477">
        <f t="shared" si="44"/>
        <v>4.7000779482214072E-3</v>
      </c>
      <c r="K477">
        <f t="shared" si="45"/>
        <v>-1.3986241974739839E-2</v>
      </c>
      <c r="L477">
        <f t="shared" si="46"/>
        <v>-3.6115609079161535E-3</v>
      </c>
      <c r="M477">
        <f t="shared" si="47"/>
        <v>-6.1888382247621129E-3</v>
      </c>
    </row>
    <row r="478" spans="1:13" x14ac:dyDescent="0.2">
      <c r="A478" s="6">
        <v>45264</v>
      </c>
      <c r="B478" s="7">
        <v>46.73</v>
      </c>
      <c r="C478" s="7">
        <v>132.38</v>
      </c>
      <c r="D478" s="7">
        <v>332.17</v>
      </c>
      <c r="E478" s="7">
        <v>147.03</v>
      </c>
      <c r="F478" s="7">
        <v>50.36</v>
      </c>
      <c r="G478" s="7">
        <v>327.04000000000002</v>
      </c>
      <c r="H478">
        <f t="shared" si="42"/>
        <v>2.7113687829999594E-2</v>
      </c>
      <c r="I478">
        <f t="shared" si="43"/>
        <v>5.8335708445442285E-3</v>
      </c>
      <c r="J478">
        <f t="shared" si="44"/>
        <v>-1.5642394068824447E-3</v>
      </c>
      <c r="K478">
        <f t="shared" si="45"/>
        <v>1.5006962692125378E-2</v>
      </c>
      <c r="L478">
        <f t="shared" si="46"/>
        <v>1.2186745571544654E-2</v>
      </c>
      <c r="M478">
        <f t="shared" si="47"/>
        <v>-2.4197286843894827E-2</v>
      </c>
    </row>
    <row r="479" spans="1:13" x14ac:dyDescent="0.2">
      <c r="A479" s="6">
        <v>45261</v>
      </c>
      <c r="B479" s="7">
        <v>46.74</v>
      </c>
      <c r="C479" s="7">
        <v>134.07</v>
      </c>
      <c r="D479" s="7">
        <v>323.29000000000002</v>
      </c>
      <c r="E479" s="7">
        <v>146.09</v>
      </c>
      <c r="F479" s="7">
        <v>49.48</v>
      </c>
      <c r="G479" s="7">
        <v>317.32</v>
      </c>
      <c r="H479">
        <f t="shared" si="42"/>
        <v>2.1397239837716173E-4</v>
      </c>
      <c r="I479">
        <f t="shared" si="43"/>
        <v>1.2685476922693093E-2</v>
      </c>
      <c r="J479">
        <f t="shared" si="44"/>
        <v>-2.7097132828121887E-2</v>
      </c>
      <c r="K479">
        <f t="shared" si="45"/>
        <v>-6.4137774451431158E-3</v>
      </c>
      <c r="L479">
        <f t="shared" si="46"/>
        <v>-1.7628661651859358E-2</v>
      </c>
      <c r="M479">
        <f t="shared" si="47"/>
        <v>-3.0171759141482783E-2</v>
      </c>
    </row>
    <row r="480" spans="1:13" x14ac:dyDescent="0.2">
      <c r="A480" s="6">
        <v>45260</v>
      </c>
      <c r="B480" s="7">
        <v>48.11</v>
      </c>
      <c r="C480" s="7">
        <v>135.99</v>
      </c>
      <c r="D480" s="7">
        <v>330.71</v>
      </c>
      <c r="E480" s="7">
        <v>146.32</v>
      </c>
      <c r="F480" s="7">
        <v>49.44</v>
      </c>
      <c r="G480" s="7">
        <v>315.54000000000002</v>
      </c>
      <c r="H480">
        <f t="shared" si="42"/>
        <v>2.8889726600650371E-2</v>
      </c>
      <c r="I480">
        <f t="shared" si="43"/>
        <v>1.4219302007397853E-2</v>
      </c>
      <c r="J480">
        <f t="shared" si="44"/>
        <v>2.269210518857348E-2</v>
      </c>
      <c r="K480">
        <f t="shared" si="45"/>
        <v>1.5731339381874685E-3</v>
      </c>
      <c r="L480">
        <f t="shared" si="46"/>
        <v>-8.0873437485184105E-4</v>
      </c>
      <c r="M480">
        <f t="shared" si="47"/>
        <v>-5.6252716044942318E-3</v>
      </c>
    </row>
    <row r="481" spans="1:13" x14ac:dyDescent="0.2">
      <c r="A481" s="6">
        <v>45259</v>
      </c>
      <c r="B481" s="7">
        <v>47.79</v>
      </c>
      <c r="C481" s="7">
        <v>129.13</v>
      </c>
      <c r="D481" s="7">
        <v>324.58999999999997</v>
      </c>
      <c r="E481" s="7">
        <v>147.03</v>
      </c>
      <c r="F481" s="7">
        <v>49.32</v>
      </c>
      <c r="G481" s="7">
        <v>310.91000000000003</v>
      </c>
      <c r="H481">
        <f t="shared" si="42"/>
        <v>-6.6736431212955491E-3</v>
      </c>
      <c r="I481">
        <f t="shared" si="43"/>
        <v>-5.1761704762307403E-2</v>
      </c>
      <c r="J481">
        <f t="shared" si="44"/>
        <v>-1.8679010959087347E-2</v>
      </c>
      <c r="K481">
        <f t="shared" si="45"/>
        <v>4.8406435069556419E-3</v>
      </c>
      <c r="L481">
        <f t="shared" si="46"/>
        <v>-2.4301348532917819E-3</v>
      </c>
      <c r="M481">
        <f t="shared" si="47"/>
        <v>-1.4781975598694113E-2</v>
      </c>
    </row>
    <row r="482" spans="1:13" x14ac:dyDescent="0.2">
      <c r="A482" s="6">
        <v>45257</v>
      </c>
      <c r="B482" s="7">
        <v>47.75</v>
      </c>
      <c r="C482" s="7">
        <v>128.38</v>
      </c>
      <c r="D482" s="7">
        <v>316.33999999999997</v>
      </c>
      <c r="E482" s="7">
        <v>146.74</v>
      </c>
      <c r="F482" s="7">
        <v>49.84</v>
      </c>
      <c r="G482" s="7">
        <v>310.57</v>
      </c>
      <c r="H482">
        <f t="shared" si="42"/>
        <v>-8.3734566332756581E-4</v>
      </c>
      <c r="I482">
        <f t="shared" si="43"/>
        <v>-5.8250329749281321E-3</v>
      </c>
      <c r="J482">
        <f t="shared" si="44"/>
        <v>-2.574526292334E-2</v>
      </c>
      <c r="K482">
        <f t="shared" si="45"/>
        <v>-1.974334303717518E-3</v>
      </c>
      <c r="L482">
        <f t="shared" si="46"/>
        <v>1.0488196183054179E-2</v>
      </c>
      <c r="M482">
        <f t="shared" si="47"/>
        <v>-1.0941624313588621E-3</v>
      </c>
    </row>
    <row r="483" spans="1:13" x14ac:dyDescent="0.2">
      <c r="A483" s="6">
        <v>45254</v>
      </c>
      <c r="B483" s="7">
        <v>48.68</v>
      </c>
      <c r="C483" s="7">
        <v>130.96</v>
      </c>
      <c r="D483" s="7">
        <v>318.06</v>
      </c>
      <c r="E483" s="7">
        <v>146.71</v>
      </c>
      <c r="F483" s="7">
        <v>50.17</v>
      </c>
      <c r="G483" s="7">
        <v>308.08</v>
      </c>
      <c r="H483">
        <f t="shared" si="42"/>
        <v>1.9289201192587258E-2</v>
      </c>
      <c r="I483">
        <f t="shared" si="43"/>
        <v>1.9897317179247455E-2</v>
      </c>
      <c r="J483">
        <f t="shared" si="44"/>
        <v>5.422459692427186E-3</v>
      </c>
      <c r="K483">
        <f t="shared" si="45"/>
        <v>-2.0446413429556375E-4</v>
      </c>
      <c r="L483">
        <f t="shared" si="46"/>
        <v>6.5993640169638122E-3</v>
      </c>
      <c r="M483">
        <f t="shared" si="47"/>
        <v>-8.0498292926015191E-3</v>
      </c>
    </row>
    <row r="484" spans="1:13" x14ac:dyDescent="0.2">
      <c r="A484" s="6">
        <v>45252</v>
      </c>
      <c r="B484" s="7">
        <v>49.91</v>
      </c>
      <c r="C484" s="7">
        <v>131.62</v>
      </c>
      <c r="D484" s="7">
        <v>322.83</v>
      </c>
      <c r="E484" s="7">
        <v>143.9</v>
      </c>
      <c r="F484" s="7">
        <v>50.72</v>
      </c>
      <c r="G484" s="7">
        <v>308.58</v>
      </c>
      <c r="H484">
        <f t="shared" si="42"/>
        <v>2.4953115362191466E-2</v>
      </c>
      <c r="I484">
        <f t="shared" si="43"/>
        <v>5.0270499650936348E-3</v>
      </c>
      <c r="J484">
        <f t="shared" si="44"/>
        <v>1.4885824652640845E-2</v>
      </c>
      <c r="K484">
        <f t="shared" si="45"/>
        <v>-1.9339235258230579E-2</v>
      </c>
      <c r="L484">
        <f t="shared" si="46"/>
        <v>1.0903071632808908E-2</v>
      </c>
      <c r="M484">
        <f t="shared" si="47"/>
        <v>1.6216395082262758E-3</v>
      </c>
    </row>
    <row r="485" spans="1:13" x14ac:dyDescent="0.2">
      <c r="A485" s="6">
        <v>45251</v>
      </c>
      <c r="B485" s="7">
        <v>50.38</v>
      </c>
      <c r="C485" s="7">
        <v>134.07</v>
      </c>
      <c r="D485" s="7">
        <v>325.14999999999998</v>
      </c>
      <c r="E485" s="7">
        <v>146.13</v>
      </c>
      <c r="F485" s="7">
        <v>50.26</v>
      </c>
      <c r="G485" s="7">
        <v>304.39</v>
      </c>
      <c r="H485">
        <f t="shared" si="42"/>
        <v>9.372887442946445E-3</v>
      </c>
      <c r="I485">
        <f t="shared" si="43"/>
        <v>1.8443068585496634E-2</v>
      </c>
      <c r="J485">
        <f t="shared" si="44"/>
        <v>7.1607454347501721E-3</v>
      </c>
      <c r="K485">
        <f t="shared" si="45"/>
        <v>1.5378022593238711E-2</v>
      </c>
      <c r="L485">
        <f t="shared" si="46"/>
        <v>-9.1107780135244194E-3</v>
      </c>
      <c r="M485">
        <f t="shared" si="47"/>
        <v>-1.3671355078141227E-2</v>
      </c>
    </row>
    <row r="486" spans="1:13" x14ac:dyDescent="0.2">
      <c r="A486" s="6">
        <v>45250</v>
      </c>
      <c r="B486" s="7">
        <v>49.27</v>
      </c>
      <c r="C486" s="7">
        <v>136.26</v>
      </c>
      <c r="D486" s="7">
        <v>330.16</v>
      </c>
      <c r="E486" s="7">
        <v>145.18</v>
      </c>
      <c r="F486" s="7">
        <v>50.27</v>
      </c>
      <c r="G486" s="7">
        <v>298.55</v>
      </c>
      <c r="H486">
        <f t="shared" si="42"/>
        <v>-2.2278894368592404E-2</v>
      </c>
      <c r="I486">
        <f t="shared" si="43"/>
        <v>1.6202773732052266E-2</v>
      </c>
      <c r="J486">
        <f t="shared" si="44"/>
        <v>1.5290771129165794E-2</v>
      </c>
      <c r="K486">
        <f t="shared" si="45"/>
        <v>-6.5222846298663107E-3</v>
      </c>
      <c r="L486">
        <f t="shared" si="46"/>
        <v>1.9894558903794297E-4</v>
      </c>
      <c r="M486">
        <f t="shared" si="47"/>
        <v>-1.9372350943736988E-2</v>
      </c>
    </row>
    <row r="487" spans="1:13" x14ac:dyDescent="0.2">
      <c r="A487" s="6">
        <v>45246</v>
      </c>
      <c r="B487" s="7">
        <v>48.86</v>
      </c>
      <c r="C487" s="7">
        <v>135.75</v>
      </c>
      <c r="D487" s="7">
        <v>332.65</v>
      </c>
      <c r="E487" s="7">
        <v>143.19999999999999</v>
      </c>
      <c r="F487" s="7">
        <v>50.84</v>
      </c>
      <c r="G487" s="7">
        <v>296.2</v>
      </c>
      <c r="H487">
        <f t="shared" si="42"/>
        <v>-8.3563107262773981E-3</v>
      </c>
      <c r="I487">
        <f t="shared" si="43"/>
        <v>-3.749866531477171E-3</v>
      </c>
      <c r="J487">
        <f t="shared" si="44"/>
        <v>7.5135007435698942E-3</v>
      </c>
      <c r="K487">
        <f t="shared" si="45"/>
        <v>-1.3732097330149429E-2</v>
      </c>
      <c r="L487">
        <f t="shared" si="46"/>
        <v>1.1274968616769536E-2</v>
      </c>
      <c r="M487">
        <f t="shared" si="47"/>
        <v>-7.9025211593030421E-3</v>
      </c>
    </row>
    <row r="488" spans="1:13" x14ac:dyDescent="0.2">
      <c r="A488" s="6">
        <v>45245</v>
      </c>
      <c r="B488" s="7">
        <v>49.62</v>
      </c>
      <c r="C488" s="7">
        <v>137.54</v>
      </c>
      <c r="D488" s="7">
        <v>336.16</v>
      </c>
      <c r="E488" s="7">
        <v>145.80000000000001</v>
      </c>
      <c r="F488" s="7">
        <v>51.67</v>
      </c>
      <c r="G488" s="7">
        <v>296.42</v>
      </c>
      <c r="H488">
        <f t="shared" si="42"/>
        <v>1.5434912434060507E-2</v>
      </c>
      <c r="I488">
        <f t="shared" si="43"/>
        <v>1.3099825077645176E-2</v>
      </c>
      <c r="J488">
        <f t="shared" si="44"/>
        <v>1.0496350908793887E-2</v>
      </c>
      <c r="K488">
        <f t="shared" si="45"/>
        <v>1.7993565048012691E-2</v>
      </c>
      <c r="L488">
        <f t="shared" si="46"/>
        <v>1.6193895977839972E-2</v>
      </c>
      <c r="M488">
        <f t="shared" si="47"/>
        <v>7.4246569507067158E-4</v>
      </c>
    </row>
    <row r="489" spans="1:13" x14ac:dyDescent="0.2">
      <c r="A489" s="6">
        <v>45244</v>
      </c>
      <c r="B489" s="7">
        <v>48.59</v>
      </c>
      <c r="C489" s="7">
        <v>136.03</v>
      </c>
      <c r="D489" s="7">
        <v>339.4</v>
      </c>
      <c r="E489" s="7">
        <v>142.59</v>
      </c>
      <c r="F489" s="7">
        <v>51.06</v>
      </c>
      <c r="G489" s="7">
        <v>294.13</v>
      </c>
      <c r="H489">
        <f t="shared" si="42"/>
        <v>-2.0976229845843221E-2</v>
      </c>
      <c r="I489">
        <f t="shared" si="43"/>
        <v>-1.103933424635131E-2</v>
      </c>
      <c r="J489">
        <f t="shared" si="44"/>
        <v>9.592115703435428E-3</v>
      </c>
      <c r="K489">
        <f t="shared" si="45"/>
        <v>-2.2262440280530035E-2</v>
      </c>
      <c r="L489">
        <f t="shared" si="46"/>
        <v>-1.1875930485755429E-2</v>
      </c>
      <c r="M489">
        <f t="shared" si="47"/>
        <v>-7.7555210507229732E-3</v>
      </c>
    </row>
    <row r="490" spans="1:13" x14ac:dyDescent="0.2">
      <c r="A490" s="6">
        <v>45243</v>
      </c>
      <c r="B490" s="7">
        <v>48.3</v>
      </c>
      <c r="C490" s="7">
        <v>135.32</v>
      </c>
      <c r="D490" s="7">
        <v>334.92</v>
      </c>
      <c r="E490" s="7">
        <v>143.56</v>
      </c>
      <c r="F490" s="7">
        <v>50.83</v>
      </c>
      <c r="G490" s="7">
        <v>293.92</v>
      </c>
      <c r="H490">
        <f t="shared" si="42"/>
        <v>-5.986187759284718E-3</v>
      </c>
      <c r="I490">
        <f t="shared" si="43"/>
        <v>-5.233105732830921E-3</v>
      </c>
      <c r="J490">
        <f t="shared" si="44"/>
        <v>-1.3287655463894743E-2</v>
      </c>
      <c r="K490">
        <f t="shared" si="45"/>
        <v>6.7796869853787691E-3</v>
      </c>
      <c r="L490">
        <f t="shared" si="46"/>
        <v>-4.5146803545266945E-3</v>
      </c>
      <c r="M490">
        <f t="shared" si="47"/>
        <v>-7.1422501123042379E-4</v>
      </c>
    </row>
    <row r="491" spans="1:13" x14ac:dyDescent="0.2">
      <c r="A491" s="6">
        <v>45240</v>
      </c>
      <c r="B491" s="7">
        <v>46.92</v>
      </c>
      <c r="C491" s="7">
        <v>134.38</v>
      </c>
      <c r="D491" s="7">
        <v>337.89</v>
      </c>
      <c r="E491" s="7">
        <v>140.6</v>
      </c>
      <c r="F491" s="7">
        <v>50.38</v>
      </c>
      <c r="G491" s="7">
        <v>292.5</v>
      </c>
      <c r="H491">
        <f t="shared" si="42"/>
        <v>-2.8987536873252187E-2</v>
      </c>
      <c r="I491">
        <f t="shared" si="43"/>
        <v>-6.9707364205038522E-3</v>
      </c>
      <c r="J491">
        <f t="shared" si="44"/>
        <v>8.8287013914836489E-3</v>
      </c>
      <c r="K491">
        <f t="shared" si="45"/>
        <v>-2.0834086902842025E-2</v>
      </c>
      <c r="L491">
        <f t="shared" si="46"/>
        <v>-8.8924605343468997E-3</v>
      </c>
      <c r="M491">
        <f t="shared" si="47"/>
        <v>-4.8429547949043967E-3</v>
      </c>
    </row>
    <row r="492" spans="1:13" x14ac:dyDescent="0.2">
      <c r="A492" s="6">
        <v>45239</v>
      </c>
      <c r="B492" s="7">
        <v>46.54</v>
      </c>
      <c r="C492" s="7">
        <v>135.99</v>
      </c>
      <c r="D492" s="7">
        <v>332.99</v>
      </c>
      <c r="E492" s="7">
        <v>142.08000000000001</v>
      </c>
      <c r="F492" s="7">
        <v>50.77</v>
      </c>
      <c r="G492" s="7">
        <v>288.85000000000002</v>
      </c>
      <c r="H492">
        <f t="shared" si="42"/>
        <v>-8.1318659111290492E-3</v>
      </c>
      <c r="I492">
        <f t="shared" si="43"/>
        <v>1.1909746128863708E-2</v>
      </c>
      <c r="J492">
        <f t="shared" si="44"/>
        <v>-1.4607939228211336E-2</v>
      </c>
      <c r="K492">
        <f t="shared" si="45"/>
        <v>1.0471299867295437E-2</v>
      </c>
      <c r="L492">
        <f t="shared" si="46"/>
        <v>7.7113580348387306E-3</v>
      </c>
      <c r="M492">
        <f t="shared" si="47"/>
        <v>-1.2557144444636507E-2</v>
      </c>
    </row>
    <row r="493" spans="1:13" x14ac:dyDescent="0.2">
      <c r="A493" s="6">
        <v>45238</v>
      </c>
      <c r="B493" s="7">
        <v>45.93</v>
      </c>
      <c r="C493" s="7">
        <v>133.69999999999999</v>
      </c>
      <c r="D493" s="7">
        <v>332.14</v>
      </c>
      <c r="E493" s="7">
        <v>142.71</v>
      </c>
      <c r="F493" s="7">
        <v>50.58</v>
      </c>
      <c r="G493" s="7">
        <v>291.55</v>
      </c>
      <c r="H493">
        <f t="shared" si="42"/>
        <v>-1.3193659536443593E-2</v>
      </c>
      <c r="I493">
        <f t="shared" si="43"/>
        <v>-1.6982869512970278E-2</v>
      </c>
      <c r="J493">
        <f t="shared" si="44"/>
        <v>-2.5558927208964651E-3</v>
      </c>
      <c r="K493">
        <f t="shared" si="45"/>
        <v>4.4243198684397389E-3</v>
      </c>
      <c r="L493">
        <f t="shared" si="46"/>
        <v>-3.7493877174839961E-3</v>
      </c>
      <c r="M493">
        <f t="shared" si="47"/>
        <v>9.3039954408903683E-3</v>
      </c>
    </row>
    <row r="494" spans="1:13" x14ac:dyDescent="0.2">
      <c r="A494" s="6">
        <v>45237</v>
      </c>
      <c r="B494" s="7">
        <v>45.72</v>
      </c>
      <c r="C494" s="7">
        <v>132.69999999999999</v>
      </c>
      <c r="D494" s="7">
        <v>330.67</v>
      </c>
      <c r="E494" s="7">
        <v>139.74</v>
      </c>
      <c r="F494" s="7">
        <v>50.6</v>
      </c>
      <c r="G494" s="7">
        <v>290.68</v>
      </c>
      <c r="H494">
        <f t="shared" si="42"/>
        <v>-4.5826594110922403E-3</v>
      </c>
      <c r="I494">
        <f t="shared" si="43"/>
        <v>-7.5075427697356605E-3</v>
      </c>
      <c r="J494">
        <f t="shared" si="44"/>
        <v>-4.4356675674919318E-3</v>
      </c>
      <c r="K494">
        <f t="shared" si="45"/>
        <v>-2.1031045987995208E-2</v>
      </c>
      <c r="L494">
        <f t="shared" si="46"/>
        <v>3.9533505160080671E-4</v>
      </c>
      <c r="M494">
        <f t="shared" si="47"/>
        <v>-2.9885119197298861E-3</v>
      </c>
    </row>
    <row r="495" spans="1:13" x14ac:dyDescent="0.2">
      <c r="A495" s="6">
        <v>45236</v>
      </c>
      <c r="B495" s="7">
        <v>44.98</v>
      </c>
      <c r="C495" s="7">
        <v>131.19</v>
      </c>
      <c r="D495" s="7">
        <v>334.25</v>
      </c>
      <c r="E495" s="7">
        <v>138.6</v>
      </c>
      <c r="F495" s="7">
        <v>50.82</v>
      </c>
      <c r="G495" s="7">
        <v>289.89</v>
      </c>
      <c r="H495">
        <f t="shared" si="42"/>
        <v>-1.6317892395440379E-2</v>
      </c>
      <c r="I495">
        <f t="shared" si="43"/>
        <v>-1.1444287245222798E-2</v>
      </c>
      <c r="J495">
        <f t="shared" si="44"/>
        <v>1.0768316770937501E-2</v>
      </c>
      <c r="K495">
        <f t="shared" si="45"/>
        <v>-8.1914663685019318E-3</v>
      </c>
      <c r="L495">
        <f t="shared" si="46"/>
        <v>4.3384015985981411E-3</v>
      </c>
      <c r="M495">
        <f t="shared" si="47"/>
        <v>-2.7214650691083858E-3</v>
      </c>
    </row>
    <row r="496" spans="1:13" x14ac:dyDescent="0.2">
      <c r="A496" s="6">
        <v>45233</v>
      </c>
      <c r="B496" s="7">
        <v>43.48</v>
      </c>
      <c r="C496" s="7">
        <v>131.68</v>
      </c>
      <c r="D496" s="7">
        <v>327.17</v>
      </c>
      <c r="E496" s="7">
        <v>138.07</v>
      </c>
      <c r="F496" s="7">
        <v>55.3</v>
      </c>
      <c r="G496" s="7">
        <v>291.55</v>
      </c>
      <c r="H496">
        <f t="shared" si="42"/>
        <v>-3.3916884278160905E-2</v>
      </c>
      <c r="I496">
        <f t="shared" si="43"/>
        <v>3.7280828358208905E-3</v>
      </c>
      <c r="J496">
        <f t="shared" si="44"/>
        <v>-2.1409302498539066E-2</v>
      </c>
      <c r="K496">
        <f t="shared" si="45"/>
        <v>-3.8312838277418837E-3</v>
      </c>
      <c r="L496">
        <f t="shared" si="46"/>
        <v>8.4482930636271089E-2</v>
      </c>
      <c r="M496">
        <f t="shared" si="47"/>
        <v>5.7099769888383336E-3</v>
      </c>
    </row>
    <row r="497" spans="1:13" x14ac:dyDescent="0.2">
      <c r="A497" s="6">
        <v>45232</v>
      </c>
      <c r="B497" s="7">
        <v>42.3</v>
      </c>
      <c r="C497" s="7">
        <v>129.35</v>
      </c>
      <c r="D497" s="7">
        <v>326.76</v>
      </c>
      <c r="E497" s="7">
        <v>137</v>
      </c>
      <c r="F497" s="7">
        <v>54.61</v>
      </c>
      <c r="G497" s="7">
        <v>287.23</v>
      </c>
      <c r="H497">
        <f t="shared" si="42"/>
        <v>-2.751397620077646E-2</v>
      </c>
      <c r="I497">
        <f t="shared" si="43"/>
        <v>-1.78528282967216E-2</v>
      </c>
      <c r="J497">
        <f t="shared" si="44"/>
        <v>-1.2539570098450321E-3</v>
      </c>
      <c r="K497">
        <f t="shared" si="45"/>
        <v>-7.7798770999360336E-3</v>
      </c>
      <c r="L497">
        <f t="shared" si="46"/>
        <v>-1.2555892364226693E-2</v>
      </c>
      <c r="M497">
        <f t="shared" si="47"/>
        <v>-1.4928229124817588E-2</v>
      </c>
    </row>
    <row r="498" spans="1:13" x14ac:dyDescent="0.2">
      <c r="A498" s="6">
        <v>45231</v>
      </c>
      <c r="B498" s="7">
        <v>40.75</v>
      </c>
      <c r="C498" s="7">
        <v>130.94</v>
      </c>
      <c r="D498" s="7">
        <v>318.58999999999997</v>
      </c>
      <c r="E498" s="7">
        <v>133.09</v>
      </c>
      <c r="F498" s="7">
        <v>54.62</v>
      </c>
      <c r="G498" s="7">
        <v>272.51</v>
      </c>
      <c r="H498">
        <f t="shared" si="42"/>
        <v>-3.7331246365360456E-2</v>
      </c>
      <c r="I498">
        <f t="shared" si="43"/>
        <v>1.2217294380907205E-2</v>
      </c>
      <c r="J498">
        <f t="shared" si="44"/>
        <v>-2.5320946809835609E-2</v>
      </c>
      <c r="K498">
        <f t="shared" si="45"/>
        <v>-2.8955334729660134E-2</v>
      </c>
      <c r="L498">
        <f t="shared" si="46"/>
        <v>1.8309988149657966E-4</v>
      </c>
      <c r="M498">
        <f t="shared" si="47"/>
        <v>-5.2607977865669821E-2</v>
      </c>
    </row>
    <row r="499" spans="1:13" x14ac:dyDescent="0.2">
      <c r="A499" s="6">
        <v>45230</v>
      </c>
      <c r="B499" s="7">
        <v>41.13</v>
      </c>
      <c r="C499" s="7">
        <v>130.07</v>
      </c>
      <c r="D499" s="7">
        <v>317.82</v>
      </c>
      <c r="E499" s="7">
        <v>132.71</v>
      </c>
      <c r="F499" s="7">
        <v>54.13</v>
      </c>
      <c r="G499" s="7">
        <v>275.83999999999997</v>
      </c>
      <c r="H499">
        <f t="shared" si="42"/>
        <v>9.2819425554609893E-3</v>
      </c>
      <c r="I499">
        <f t="shared" si="43"/>
        <v>-6.6664359372959675E-3</v>
      </c>
      <c r="J499">
        <f t="shared" si="44"/>
        <v>-2.4198248793426734E-3</v>
      </c>
      <c r="K499">
        <f t="shared" si="45"/>
        <v>-2.8592946493068965E-3</v>
      </c>
      <c r="L499">
        <f t="shared" si="46"/>
        <v>-9.0115552366723094E-3</v>
      </c>
      <c r="M499">
        <f t="shared" si="47"/>
        <v>1.2145676797650471E-2</v>
      </c>
    </row>
    <row r="500" spans="1:13" x14ac:dyDescent="0.2">
      <c r="A500" s="6">
        <v>45229</v>
      </c>
      <c r="B500" s="7">
        <v>40.47</v>
      </c>
      <c r="C500" s="7">
        <v>129.36000000000001</v>
      </c>
      <c r="D500" s="7">
        <v>316.87</v>
      </c>
      <c r="E500" s="7">
        <v>127.74</v>
      </c>
      <c r="F500" s="7">
        <v>53.39</v>
      </c>
      <c r="G500" s="7">
        <v>272.32</v>
      </c>
      <c r="H500">
        <f t="shared" si="42"/>
        <v>-1.6176823354558563E-2</v>
      </c>
      <c r="I500">
        <f t="shared" si="43"/>
        <v>-5.4735518067978457E-3</v>
      </c>
      <c r="J500">
        <f t="shared" si="44"/>
        <v>-2.9935896562359988E-3</v>
      </c>
      <c r="K500">
        <f t="shared" si="45"/>
        <v>-3.8169348315714835E-2</v>
      </c>
      <c r="L500">
        <f t="shared" si="46"/>
        <v>-1.376509829679172E-2</v>
      </c>
      <c r="M500">
        <f t="shared" si="47"/>
        <v>-1.2843142090318843E-2</v>
      </c>
    </row>
    <row r="501" spans="1:13" x14ac:dyDescent="0.2">
      <c r="A501" s="6">
        <v>45226</v>
      </c>
      <c r="B501" s="7">
        <v>40.299999999999997</v>
      </c>
      <c r="C501" s="7">
        <v>128.22</v>
      </c>
      <c r="D501" s="7">
        <v>313.87</v>
      </c>
      <c r="E501" s="7">
        <v>119.57</v>
      </c>
      <c r="F501" s="7">
        <v>53.52</v>
      </c>
      <c r="G501" s="7">
        <v>279.94</v>
      </c>
      <c r="H501">
        <f t="shared" si="42"/>
        <v>-4.2094899351369326E-3</v>
      </c>
      <c r="I501">
        <f t="shared" si="43"/>
        <v>-8.8516767097402797E-3</v>
      </c>
      <c r="J501">
        <f t="shared" si="44"/>
        <v>-9.512707685790496E-3</v>
      </c>
      <c r="K501">
        <f t="shared" si="45"/>
        <v>-6.6094974201954468E-2</v>
      </c>
      <c r="L501">
        <f t="shared" si="46"/>
        <v>2.431953307878256E-3</v>
      </c>
      <c r="M501">
        <f t="shared" si="47"/>
        <v>2.7597449107490412E-2</v>
      </c>
    </row>
    <row r="502" spans="1:13" x14ac:dyDescent="0.2">
      <c r="A502" s="6">
        <v>45225</v>
      </c>
      <c r="B502" s="7">
        <v>41.75</v>
      </c>
      <c r="C502" s="7">
        <v>126.62</v>
      </c>
      <c r="D502" s="7">
        <v>312.67</v>
      </c>
      <c r="E502" s="7">
        <v>121.39</v>
      </c>
      <c r="F502" s="7">
        <v>53.96</v>
      </c>
      <c r="G502" s="7">
        <v>278.85000000000002</v>
      </c>
      <c r="H502">
        <f t="shared" si="42"/>
        <v>3.5347982344227355E-2</v>
      </c>
      <c r="I502">
        <f t="shared" si="43"/>
        <v>-1.2557063443130791E-2</v>
      </c>
      <c r="J502">
        <f t="shared" si="44"/>
        <v>-3.8305661803662663E-3</v>
      </c>
      <c r="K502">
        <f t="shared" si="45"/>
        <v>1.5106528978223763E-2</v>
      </c>
      <c r="L502">
        <f t="shared" si="46"/>
        <v>8.1876155195821088E-3</v>
      </c>
      <c r="M502">
        <f t="shared" si="47"/>
        <v>-3.901291656937009E-3</v>
      </c>
    </row>
    <row r="503" spans="1:13" x14ac:dyDescent="0.2">
      <c r="A503" s="6">
        <v>45224</v>
      </c>
      <c r="B503" s="7">
        <v>43.63</v>
      </c>
      <c r="C503" s="7">
        <v>125.58</v>
      </c>
      <c r="D503" s="7">
        <v>308.97000000000003</v>
      </c>
      <c r="E503" s="7">
        <v>128.56</v>
      </c>
      <c r="F503" s="7">
        <v>53.7</v>
      </c>
      <c r="G503" s="7">
        <v>278.66000000000003</v>
      </c>
      <c r="H503">
        <f t="shared" si="42"/>
        <v>4.404553583865374E-2</v>
      </c>
      <c r="I503">
        <f t="shared" si="43"/>
        <v>-8.2474694300171143E-3</v>
      </c>
      <c r="J503">
        <f t="shared" si="44"/>
        <v>-1.1904136456277224E-2</v>
      </c>
      <c r="K503">
        <f t="shared" si="45"/>
        <v>5.7387218519544952E-2</v>
      </c>
      <c r="L503">
        <f t="shared" si="46"/>
        <v>-4.8300298247360403E-3</v>
      </c>
      <c r="M503">
        <f t="shared" si="47"/>
        <v>-6.8160215011707492E-4</v>
      </c>
    </row>
    <row r="504" spans="1:13" x14ac:dyDescent="0.2">
      <c r="A504" s="6">
        <v>45223</v>
      </c>
      <c r="B504" s="7">
        <v>42.95</v>
      </c>
      <c r="C504" s="7">
        <v>123.23</v>
      </c>
      <c r="D504" s="7">
        <v>309.94</v>
      </c>
      <c r="E504" s="7">
        <v>126.56</v>
      </c>
      <c r="F504" s="7">
        <v>53.63</v>
      </c>
      <c r="G504" s="7">
        <v>279.64999999999998</v>
      </c>
      <c r="H504">
        <f t="shared" si="42"/>
        <v>-1.5708338705253799E-2</v>
      </c>
      <c r="I504">
        <f t="shared" si="43"/>
        <v>-1.8890477735931575E-2</v>
      </c>
      <c r="J504">
        <f t="shared" si="44"/>
        <v>3.1345455533687977E-3</v>
      </c>
      <c r="K504">
        <f t="shared" si="45"/>
        <v>-1.5679217409913435E-2</v>
      </c>
      <c r="L504">
        <f t="shared" si="46"/>
        <v>-1.3043885199852051E-3</v>
      </c>
      <c r="M504">
        <f t="shared" si="47"/>
        <v>3.5464205821512137E-3</v>
      </c>
    </row>
    <row r="505" spans="1:13" x14ac:dyDescent="0.2">
      <c r="A505" s="6">
        <v>45222</v>
      </c>
      <c r="B505" s="7">
        <v>41.36</v>
      </c>
      <c r="C505" s="7">
        <v>123.61</v>
      </c>
      <c r="D505" s="7">
        <v>299.42</v>
      </c>
      <c r="E505" s="7">
        <v>125.17</v>
      </c>
      <c r="F505" s="7">
        <v>53.91</v>
      </c>
      <c r="G505" s="7">
        <v>278.62</v>
      </c>
      <c r="H505">
        <f t="shared" si="42"/>
        <v>-3.7722418230090766E-2</v>
      </c>
      <c r="I505">
        <f t="shared" si="43"/>
        <v>3.0789199496998616E-3</v>
      </c>
      <c r="J505">
        <f t="shared" si="44"/>
        <v>-3.4531460337498321E-2</v>
      </c>
      <c r="K505">
        <f t="shared" si="45"/>
        <v>-1.1043690679411619E-2</v>
      </c>
      <c r="L505">
        <f t="shared" si="46"/>
        <v>5.2073764687435289E-3</v>
      </c>
      <c r="M505">
        <f t="shared" si="47"/>
        <v>-3.6899749895180174E-3</v>
      </c>
    </row>
    <row r="506" spans="1:13" x14ac:dyDescent="0.2">
      <c r="A506" s="6">
        <v>45219</v>
      </c>
      <c r="B506" s="7">
        <v>42.07</v>
      </c>
      <c r="C506" s="7">
        <v>121.33</v>
      </c>
      <c r="D506" s="7">
        <v>300.81</v>
      </c>
      <c r="E506" s="7">
        <v>128.4</v>
      </c>
      <c r="F506" s="7">
        <v>53.7</v>
      </c>
      <c r="G506" s="7">
        <v>271.14999999999998</v>
      </c>
      <c r="H506">
        <f t="shared" si="42"/>
        <v>1.7020667402255944E-2</v>
      </c>
      <c r="I506">
        <f t="shared" si="43"/>
        <v>-1.8617341835950096E-2</v>
      </c>
      <c r="J506">
        <f t="shared" si="44"/>
        <v>4.6315661822530774E-3</v>
      </c>
      <c r="K506">
        <f t="shared" si="45"/>
        <v>2.5477577915928782E-2</v>
      </c>
      <c r="L506">
        <f t="shared" si="46"/>
        <v>-3.9029879487581958E-3</v>
      </c>
      <c r="M506">
        <f t="shared" si="47"/>
        <v>-2.7176672991009274E-2</v>
      </c>
    </row>
    <row r="507" spans="1:13" x14ac:dyDescent="0.2">
      <c r="A507" s="6">
        <v>45218</v>
      </c>
      <c r="B507" s="7">
        <v>42.17</v>
      </c>
      <c r="C507" s="7">
        <v>121.44</v>
      </c>
      <c r="D507" s="7">
        <v>294.91000000000003</v>
      </c>
      <c r="E507" s="7">
        <v>128.13</v>
      </c>
      <c r="F507" s="7">
        <v>53.23</v>
      </c>
      <c r="G507" s="7">
        <v>269.32</v>
      </c>
      <c r="H507">
        <f t="shared" si="42"/>
        <v>2.3741701560390056E-3</v>
      </c>
      <c r="I507">
        <f t="shared" si="43"/>
        <v>9.0620758353809037E-4</v>
      </c>
      <c r="J507">
        <f t="shared" si="44"/>
        <v>-1.980861115770511E-2</v>
      </c>
      <c r="K507">
        <f t="shared" si="45"/>
        <v>-2.1050177343760607E-3</v>
      </c>
      <c r="L507">
        <f t="shared" si="46"/>
        <v>-8.7908543301531122E-3</v>
      </c>
      <c r="M507">
        <f t="shared" si="47"/>
        <v>-6.771909609989411E-3</v>
      </c>
    </row>
    <row r="508" spans="1:13" x14ac:dyDescent="0.2">
      <c r="A508" s="6">
        <v>45217</v>
      </c>
      <c r="B508" s="7">
        <v>43.91</v>
      </c>
      <c r="C508" s="7">
        <v>124.75</v>
      </c>
      <c r="D508" s="7">
        <v>286.58</v>
      </c>
      <c r="E508" s="7">
        <v>131.47</v>
      </c>
      <c r="F508" s="7">
        <v>53.1</v>
      </c>
      <c r="G508" s="7">
        <v>266.27999999999997</v>
      </c>
      <c r="H508">
        <f t="shared" si="42"/>
        <v>4.0433016815157485E-2</v>
      </c>
      <c r="I508">
        <f t="shared" si="43"/>
        <v>2.6891420984308197E-2</v>
      </c>
      <c r="J508">
        <f t="shared" si="44"/>
        <v>-2.8652495757781862E-2</v>
      </c>
      <c r="K508">
        <f t="shared" si="45"/>
        <v>2.5733315187028108E-2</v>
      </c>
      <c r="L508">
        <f t="shared" si="46"/>
        <v>-2.4452189367728211E-3</v>
      </c>
      <c r="M508">
        <f t="shared" si="47"/>
        <v>-1.1351876944577297E-2</v>
      </c>
    </row>
    <row r="509" spans="1:13" x14ac:dyDescent="0.2">
      <c r="A509" s="6">
        <v>45216</v>
      </c>
      <c r="B509" s="7">
        <v>46.07</v>
      </c>
      <c r="C509" s="7">
        <v>137.86000000000001</v>
      </c>
      <c r="D509" s="7">
        <v>297.69</v>
      </c>
      <c r="E509" s="7">
        <v>132.55000000000001</v>
      </c>
      <c r="F509" s="7">
        <v>52.5</v>
      </c>
      <c r="G509" s="7">
        <v>261.52999999999997</v>
      </c>
      <c r="H509">
        <f t="shared" si="42"/>
        <v>4.8019894374199658E-2</v>
      </c>
      <c r="I509">
        <f t="shared" si="43"/>
        <v>9.9926942825877857E-2</v>
      </c>
      <c r="J509">
        <f t="shared" si="44"/>
        <v>3.8034947305803195E-2</v>
      </c>
      <c r="K509">
        <f t="shared" si="45"/>
        <v>8.181244026521645E-3</v>
      </c>
      <c r="L509">
        <f t="shared" si="46"/>
        <v>-1.1363758650315095E-2</v>
      </c>
      <c r="M509">
        <f t="shared" si="47"/>
        <v>-1.7999387054330983E-2</v>
      </c>
    </row>
    <row r="510" spans="1:13" x14ac:dyDescent="0.2">
      <c r="A510" s="6">
        <v>45215</v>
      </c>
      <c r="B510" s="7">
        <v>45.43</v>
      </c>
      <c r="C510" s="7">
        <v>135.57</v>
      </c>
      <c r="D510" s="7">
        <v>310.64</v>
      </c>
      <c r="E510" s="7">
        <v>129.79</v>
      </c>
      <c r="F510" s="7">
        <v>52.69</v>
      </c>
      <c r="G510" s="7">
        <v>262.99</v>
      </c>
      <c r="H510">
        <f t="shared" si="42"/>
        <v>-1.3989299176513734E-2</v>
      </c>
      <c r="I510">
        <f t="shared" si="43"/>
        <v>-1.6750565366207924E-2</v>
      </c>
      <c r="J510">
        <f t="shared" si="44"/>
        <v>4.2582008829152036E-2</v>
      </c>
      <c r="K510">
        <f t="shared" si="45"/>
        <v>-2.1042173035367137E-2</v>
      </c>
      <c r="L510">
        <f t="shared" si="46"/>
        <v>3.6125146236163632E-3</v>
      </c>
      <c r="M510">
        <f t="shared" si="47"/>
        <v>5.5670089630191939E-3</v>
      </c>
    </row>
    <row r="511" spans="1:13" x14ac:dyDescent="0.2">
      <c r="A511" s="6">
        <v>45212</v>
      </c>
      <c r="B511" s="7">
        <v>46.91</v>
      </c>
      <c r="C511" s="7">
        <v>134.66999999999999</v>
      </c>
      <c r="D511" s="7">
        <v>312.08999999999997</v>
      </c>
      <c r="E511" s="7">
        <v>132.33000000000001</v>
      </c>
      <c r="F511" s="7">
        <v>53.01</v>
      </c>
      <c r="G511" s="7">
        <v>265.76</v>
      </c>
      <c r="H511">
        <f t="shared" si="42"/>
        <v>3.2058192569054768E-2</v>
      </c>
      <c r="I511">
        <f t="shared" si="43"/>
        <v>-6.6607706293475731E-3</v>
      </c>
      <c r="J511">
        <f t="shared" si="44"/>
        <v>4.6569223275017366E-3</v>
      </c>
      <c r="K511">
        <f t="shared" si="45"/>
        <v>1.9381043085290546E-2</v>
      </c>
      <c r="L511">
        <f t="shared" si="46"/>
        <v>6.0548907785203014E-3</v>
      </c>
      <c r="M511">
        <f t="shared" si="47"/>
        <v>1.0477637223793742E-2</v>
      </c>
    </row>
    <row r="512" spans="1:13" x14ac:dyDescent="0.2">
      <c r="A512" s="6">
        <v>45211</v>
      </c>
      <c r="B512" s="7">
        <v>46.78</v>
      </c>
      <c r="C512" s="7">
        <v>136.81</v>
      </c>
      <c r="D512" s="7">
        <v>306.76</v>
      </c>
      <c r="E512" s="7">
        <v>131.83000000000001</v>
      </c>
      <c r="F512" s="7">
        <v>53.17</v>
      </c>
      <c r="G512" s="7">
        <v>268.01</v>
      </c>
      <c r="H512">
        <f t="shared" si="42"/>
        <v>-2.7751111843336506E-3</v>
      </c>
      <c r="I512">
        <f t="shared" si="43"/>
        <v>1.576576047007245E-2</v>
      </c>
      <c r="J512">
        <f t="shared" si="44"/>
        <v>-1.7225924854254955E-2</v>
      </c>
      <c r="K512">
        <f t="shared" si="45"/>
        <v>-3.7855890150795381E-3</v>
      </c>
      <c r="L512">
        <f t="shared" si="46"/>
        <v>3.0137525165324216E-3</v>
      </c>
      <c r="M512">
        <f t="shared" si="47"/>
        <v>8.4306473825789003E-3</v>
      </c>
    </row>
    <row r="513" spans="1:13" x14ac:dyDescent="0.2">
      <c r="A513" s="6">
        <v>45210</v>
      </c>
      <c r="B513" s="7">
        <v>45.77</v>
      </c>
      <c r="C513" s="7">
        <v>137.01</v>
      </c>
      <c r="D513" s="7">
        <v>310.89</v>
      </c>
      <c r="E513" s="7">
        <v>129.47999999999999</v>
      </c>
      <c r="F513" s="7">
        <v>52.44</v>
      </c>
      <c r="G513" s="7">
        <v>269.68</v>
      </c>
      <c r="H513">
        <f t="shared" si="42"/>
        <v>-2.1826906490482242E-2</v>
      </c>
      <c r="I513">
        <f t="shared" si="43"/>
        <v>1.4608139329946028E-3</v>
      </c>
      <c r="J513">
        <f t="shared" si="44"/>
        <v>1.3373468967577145E-2</v>
      </c>
      <c r="K513">
        <f t="shared" si="45"/>
        <v>-1.7986784711835124E-2</v>
      </c>
      <c r="L513">
        <f t="shared" si="46"/>
        <v>-1.382466862074808E-2</v>
      </c>
      <c r="M513">
        <f t="shared" si="47"/>
        <v>6.211777678241678E-3</v>
      </c>
    </row>
    <row r="514" spans="1:13" x14ac:dyDescent="0.2">
      <c r="A514" s="6">
        <v>45209</v>
      </c>
      <c r="B514" s="7">
        <v>45.24</v>
      </c>
      <c r="C514" s="7">
        <v>138.76</v>
      </c>
      <c r="D514" s="7">
        <v>315.02999999999997</v>
      </c>
      <c r="E514" s="7">
        <v>128.26</v>
      </c>
      <c r="F514" s="7">
        <v>51.71</v>
      </c>
      <c r="G514" s="7">
        <v>270.94</v>
      </c>
      <c r="H514">
        <f t="shared" si="42"/>
        <v>-1.1647203417631074E-2</v>
      </c>
      <c r="I514">
        <f t="shared" si="43"/>
        <v>1.269190623653157E-2</v>
      </c>
      <c r="J514">
        <f t="shared" si="44"/>
        <v>1.3228720521775927E-2</v>
      </c>
      <c r="K514">
        <f t="shared" si="45"/>
        <v>-9.4669753373267523E-3</v>
      </c>
      <c r="L514">
        <f t="shared" si="46"/>
        <v>-1.401847248736891E-2</v>
      </c>
      <c r="M514">
        <f t="shared" si="47"/>
        <v>4.6613232267851282E-3</v>
      </c>
    </row>
    <row r="515" spans="1:13" x14ac:dyDescent="0.2">
      <c r="A515" s="6">
        <v>45208</v>
      </c>
      <c r="B515" s="7">
        <v>45.73</v>
      </c>
      <c r="C515" s="7">
        <v>138.15</v>
      </c>
      <c r="D515" s="7">
        <v>322.01</v>
      </c>
      <c r="E515" s="7">
        <v>127.96</v>
      </c>
      <c r="F515" s="7">
        <v>52.37</v>
      </c>
      <c r="G515" s="7">
        <v>271.27999999999997</v>
      </c>
      <c r="H515">
        <f t="shared" si="42"/>
        <v>1.077288642204406E-2</v>
      </c>
      <c r="I515">
        <f t="shared" si="43"/>
        <v>-4.4057707321233349E-3</v>
      </c>
      <c r="J515">
        <f t="shared" si="44"/>
        <v>2.1914728576793285E-2</v>
      </c>
      <c r="K515">
        <f t="shared" si="45"/>
        <v>-2.3417386393995484E-3</v>
      </c>
      <c r="L515">
        <f t="shared" si="46"/>
        <v>1.2682721883266137E-2</v>
      </c>
      <c r="M515">
        <f t="shared" si="47"/>
        <v>1.2541036647928134E-3</v>
      </c>
    </row>
    <row r="516" spans="1:13" x14ac:dyDescent="0.2">
      <c r="A516" s="6">
        <v>45205</v>
      </c>
      <c r="B516" s="7">
        <v>44.66</v>
      </c>
      <c r="C516" s="7">
        <v>136.41999999999999</v>
      </c>
      <c r="D516" s="7">
        <v>319.18</v>
      </c>
      <c r="E516" s="7">
        <v>125.96</v>
      </c>
      <c r="F516" s="7">
        <v>52.62</v>
      </c>
      <c r="G516" s="7">
        <v>274.57</v>
      </c>
      <c r="H516">
        <f t="shared" ref="H516:H579" si="48">LN(B516/B515)</f>
        <v>-2.3676291257952037E-2</v>
      </c>
      <c r="I516">
        <f t="shared" ref="I516:I579" si="49">LN(C516/C515)</f>
        <v>-1.2601689142852365E-2</v>
      </c>
      <c r="J516">
        <f t="shared" ref="J516:J579" si="50">LN(D516/D515)</f>
        <v>-8.8273939917645743E-3</v>
      </c>
      <c r="K516">
        <f t="shared" ref="K516:K579" si="51">LN(E516/E515)</f>
        <v>-1.5753318848493392E-2</v>
      </c>
      <c r="L516">
        <f t="shared" ref="L516:L579" si="52">LN(F516/F515)</f>
        <v>4.7623673207504262E-3</v>
      </c>
      <c r="M516">
        <f t="shared" ref="M516:M579" si="53">LN(G516/G515)</f>
        <v>1.2054739730374542E-2</v>
      </c>
    </row>
    <row r="517" spans="1:13" x14ac:dyDescent="0.2">
      <c r="A517" s="6">
        <v>45204</v>
      </c>
      <c r="B517" s="7">
        <v>44.01</v>
      </c>
      <c r="C517" s="7">
        <v>138.02000000000001</v>
      </c>
      <c r="D517" s="7">
        <v>312.76</v>
      </c>
      <c r="E517" s="7">
        <v>127</v>
      </c>
      <c r="F517" s="7">
        <v>52.58</v>
      </c>
      <c r="G517" s="7">
        <v>279.95999999999998</v>
      </c>
      <c r="H517">
        <f t="shared" si="48"/>
        <v>-1.4661365589011734E-2</v>
      </c>
      <c r="I517">
        <f t="shared" si="49"/>
        <v>1.1660239965882623E-2</v>
      </c>
      <c r="J517">
        <f t="shared" si="50"/>
        <v>-2.0319083714727088E-2</v>
      </c>
      <c r="K517">
        <f t="shared" si="51"/>
        <v>8.2226902257674372E-3</v>
      </c>
      <c r="L517">
        <f t="shared" si="52"/>
        <v>-7.6045631041149052E-4</v>
      </c>
      <c r="M517">
        <f t="shared" si="53"/>
        <v>1.9440498273581224E-2</v>
      </c>
    </row>
    <row r="518" spans="1:13" x14ac:dyDescent="0.2">
      <c r="A518" s="6">
        <v>45203</v>
      </c>
      <c r="B518" s="7">
        <v>43.49</v>
      </c>
      <c r="C518" s="7">
        <v>139.59</v>
      </c>
      <c r="D518" s="7">
        <v>322.17</v>
      </c>
      <c r="E518" s="7">
        <v>124.72</v>
      </c>
      <c r="F518" s="7">
        <v>52.51</v>
      </c>
      <c r="G518" s="7">
        <v>281.27</v>
      </c>
      <c r="H518">
        <f t="shared" si="48"/>
        <v>-1.188585421345296E-2</v>
      </c>
      <c r="I518">
        <f t="shared" si="49"/>
        <v>1.1310952332211067E-2</v>
      </c>
      <c r="J518">
        <f t="shared" si="50"/>
        <v>2.9643233281921644E-2</v>
      </c>
      <c r="K518">
        <f t="shared" si="51"/>
        <v>-1.8115861709070202E-2</v>
      </c>
      <c r="L518">
        <f t="shared" si="52"/>
        <v>-1.3321916519672173E-3</v>
      </c>
      <c r="M518">
        <f t="shared" si="53"/>
        <v>4.6683262801268813E-3</v>
      </c>
    </row>
    <row r="519" spans="1:13" x14ac:dyDescent="0.2">
      <c r="A519" s="6">
        <v>45202</v>
      </c>
      <c r="B519" s="7">
        <v>44.75</v>
      </c>
      <c r="C519" s="7">
        <v>137.11000000000001</v>
      </c>
      <c r="D519" s="7">
        <v>325.81</v>
      </c>
      <c r="E519" s="7">
        <v>129.46</v>
      </c>
      <c r="F519" s="7">
        <v>52.06</v>
      </c>
      <c r="G519" s="7">
        <v>276.16000000000003</v>
      </c>
      <c r="H519">
        <f t="shared" si="48"/>
        <v>2.856041811131731E-2</v>
      </c>
      <c r="I519">
        <f t="shared" si="49"/>
        <v>-1.7926031156103098E-2</v>
      </c>
      <c r="J519">
        <f t="shared" si="50"/>
        <v>1.1235032835771227E-2</v>
      </c>
      <c r="K519">
        <f t="shared" si="51"/>
        <v>3.7300728367843025E-2</v>
      </c>
      <c r="L519">
        <f t="shared" si="52"/>
        <v>-8.606728083348494E-3</v>
      </c>
      <c r="M519">
        <f t="shared" si="53"/>
        <v>-1.8334654206402481E-2</v>
      </c>
    </row>
    <row r="520" spans="1:13" x14ac:dyDescent="0.2">
      <c r="A520" s="6">
        <v>45201</v>
      </c>
      <c r="B520" s="7">
        <v>43.47</v>
      </c>
      <c r="C520" s="7">
        <v>137.47</v>
      </c>
      <c r="D520" s="7">
        <v>319.87</v>
      </c>
      <c r="E520" s="7">
        <v>127.12</v>
      </c>
      <c r="F520" s="7">
        <v>51.77</v>
      </c>
      <c r="G520" s="7">
        <v>277.2</v>
      </c>
      <c r="H520">
        <f t="shared" si="48"/>
        <v>-2.9020399720163691E-2</v>
      </c>
      <c r="I520">
        <f t="shared" si="49"/>
        <v>2.6221881147649806E-3</v>
      </c>
      <c r="J520">
        <f t="shared" si="50"/>
        <v>-1.8399726122120874E-2</v>
      </c>
      <c r="K520">
        <f t="shared" si="51"/>
        <v>-1.8240430888903626E-2</v>
      </c>
      <c r="L520">
        <f t="shared" si="52"/>
        <v>-5.5860686526093039E-3</v>
      </c>
      <c r="M520">
        <f t="shared" si="53"/>
        <v>3.758859420684893E-3</v>
      </c>
    </row>
    <row r="521" spans="1:13" x14ac:dyDescent="0.2">
      <c r="A521" s="6">
        <v>45198</v>
      </c>
      <c r="B521" s="7">
        <v>43.06</v>
      </c>
      <c r="C521" s="7">
        <v>136.63999999999999</v>
      </c>
      <c r="D521" s="7">
        <v>316.41000000000003</v>
      </c>
      <c r="E521" s="7">
        <v>125.98</v>
      </c>
      <c r="F521" s="7">
        <v>51.54</v>
      </c>
      <c r="G521" s="7">
        <v>281.95</v>
      </c>
      <c r="H521">
        <f t="shared" si="48"/>
        <v>-9.4765530644836445E-3</v>
      </c>
      <c r="I521">
        <f t="shared" si="49"/>
        <v>-6.0559814430690305E-3</v>
      </c>
      <c r="J521">
        <f t="shared" si="50"/>
        <v>-1.0875822295252465E-2</v>
      </c>
      <c r="K521">
        <f t="shared" si="51"/>
        <v>-9.0083580346776351E-3</v>
      </c>
      <c r="L521">
        <f t="shared" si="52"/>
        <v>-4.4526256895910197E-3</v>
      </c>
      <c r="M521">
        <f t="shared" si="53"/>
        <v>1.699048293744294E-2</v>
      </c>
    </row>
    <row r="522" spans="1:13" x14ac:dyDescent="0.2">
      <c r="A522" s="6">
        <v>45197</v>
      </c>
      <c r="B522" s="7">
        <v>42.44</v>
      </c>
      <c r="C522" s="7">
        <v>134.13999999999999</v>
      </c>
      <c r="D522" s="7">
        <v>313.5</v>
      </c>
      <c r="E522" s="7">
        <v>125.98</v>
      </c>
      <c r="F522" s="7">
        <v>51.33</v>
      </c>
      <c r="G522" s="7">
        <v>283.06</v>
      </c>
      <c r="H522">
        <f t="shared" si="48"/>
        <v>-1.4503178190434717E-2</v>
      </c>
      <c r="I522">
        <f t="shared" si="49"/>
        <v>-1.8465699368668542E-2</v>
      </c>
      <c r="J522">
        <f t="shared" si="50"/>
        <v>-9.2394808836571904E-3</v>
      </c>
      <c r="K522">
        <f t="shared" si="51"/>
        <v>0</v>
      </c>
      <c r="L522">
        <f t="shared" si="52"/>
        <v>-4.0828286520072166E-3</v>
      </c>
      <c r="M522">
        <f t="shared" si="53"/>
        <v>3.9291390525017312E-3</v>
      </c>
    </row>
    <row r="523" spans="1:13" x14ac:dyDescent="0.2">
      <c r="A523" s="6">
        <v>45196</v>
      </c>
      <c r="B523" s="7">
        <v>41.88</v>
      </c>
      <c r="C523" s="7">
        <v>134.31</v>
      </c>
      <c r="D523" s="7">
        <v>302.92</v>
      </c>
      <c r="E523" s="7">
        <v>125.98</v>
      </c>
      <c r="F523" s="7">
        <v>50.76</v>
      </c>
      <c r="G523" s="7">
        <v>279.41000000000003</v>
      </c>
      <c r="H523">
        <f t="shared" si="48"/>
        <v>-1.3282927743446167E-2</v>
      </c>
      <c r="I523">
        <f t="shared" si="49"/>
        <v>1.266530249392794E-3</v>
      </c>
      <c r="J523">
        <f t="shared" si="50"/>
        <v>-3.4330615827353431E-2</v>
      </c>
      <c r="K523">
        <f t="shared" si="51"/>
        <v>0</v>
      </c>
      <c r="L523">
        <f t="shared" si="52"/>
        <v>-1.1166733726024917E-2</v>
      </c>
      <c r="M523">
        <f t="shared" si="53"/>
        <v>-1.2978652142640275E-2</v>
      </c>
    </row>
    <row r="524" spans="1:13" x14ac:dyDescent="0.2">
      <c r="A524" s="6">
        <v>45195</v>
      </c>
      <c r="B524" s="7">
        <v>42.19</v>
      </c>
      <c r="C524" s="7">
        <v>131.52000000000001</v>
      </c>
      <c r="D524" s="7">
        <v>303.70999999999998</v>
      </c>
      <c r="E524" s="7">
        <v>131.27000000000001</v>
      </c>
      <c r="F524" s="7">
        <v>50.95</v>
      </c>
      <c r="G524" s="7">
        <v>277.01</v>
      </c>
      <c r="H524">
        <f t="shared" si="48"/>
        <v>7.3748401339111657E-3</v>
      </c>
      <c r="I524">
        <f t="shared" si="49"/>
        <v>-2.0991629613114023E-2</v>
      </c>
      <c r="J524">
        <f t="shared" si="50"/>
        <v>2.6045544948115162E-3</v>
      </c>
      <c r="K524">
        <f t="shared" si="51"/>
        <v>4.1133106621533112E-2</v>
      </c>
      <c r="L524">
        <f t="shared" si="52"/>
        <v>3.736116822547052E-3</v>
      </c>
      <c r="M524">
        <f t="shared" si="53"/>
        <v>-8.6266305443100447E-3</v>
      </c>
    </row>
    <row r="525" spans="1:13" x14ac:dyDescent="0.2">
      <c r="A525" s="6">
        <v>45194</v>
      </c>
      <c r="B525" s="7">
        <v>41.58</v>
      </c>
      <c r="C525" s="7">
        <v>133.25</v>
      </c>
      <c r="D525" s="7">
        <v>299.10000000000002</v>
      </c>
      <c r="E525" s="7">
        <v>129.12</v>
      </c>
      <c r="F525" s="7">
        <v>51.82</v>
      </c>
      <c r="G525" s="7">
        <v>275.95</v>
      </c>
      <c r="H525">
        <f t="shared" si="48"/>
        <v>-1.4563943706380374E-2</v>
      </c>
      <c r="I525">
        <f t="shared" si="49"/>
        <v>1.306813173808411E-2</v>
      </c>
      <c r="J525">
        <f t="shared" si="50"/>
        <v>-1.5295333104531132E-2</v>
      </c>
      <c r="K525">
        <f t="shared" si="51"/>
        <v>-1.6514066293677378E-2</v>
      </c>
      <c r="L525">
        <f t="shared" si="52"/>
        <v>1.6931415465230082E-2</v>
      </c>
      <c r="M525">
        <f t="shared" si="53"/>
        <v>-3.8339167332323413E-3</v>
      </c>
    </row>
    <row r="526" spans="1:13" x14ac:dyDescent="0.2">
      <c r="A526" s="6">
        <v>45191</v>
      </c>
      <c r="B526" s="7">
        <v>40.99</v>
      </c>
      <c r="C526" s="7">
        <v>129.96</v>
      </c>
      <c r="D526" s="7">
        <v>304.94</v>
      </c>
      <c r="E526" s="7">
        <v>129.33000000000001</v>
      </c>
      <c r="F526" s="7">
        <v>52.44</v>
      </c>
      <c r="G526" s="7">
        <v>276.60000000000002</v>
      </c>
      <c r="H526">
        <f t="shared" si="48"/>
        <v>-1.4291147913620567E-2</v>
      </c>
      <c r="I526">
        <f t="shared" si="49"/>
        <v>-2.5000352245054293E-2</v>
      </c>
      <c r="J526">
        <f t="shared" si="50"/>
        <v>1.9337070307858559E-2</v>
      </c>
      <c r="K526">
        <f t="shared" si="51"/>
        <v>1.6250729055143417E-3</v>
      </c>
      <c r="L526">
        <f t="shared" si="52"/>
        <v>1.189348376153505E-2</v>
      </c>
      <c r="M526">
        <f t="shared" si="53"/>
        <v>2.352729345147716E-3</v>
      </c>
    </row>
    <row r="527" spans="1:13" x14ac:dyDescent="0.2">
      <c r="A527" s="6">
        <v>45190</v>
      </c>
      <c r="B527" s="7">
        <v>42.21</v>
      </c>
      <c r="C527" s="7">
        <v>131.4</v>
      </c>
      <c r="D527" s="7">
        <v>298.37</v>
      </c>
      <c r="E527" s="7">
        <v>135.29</v>
      </c>
      <c r="F527" s="7">
        <v>51.82</v>
      </c>
      <c r="G527" s="7">
        <v>276.17</v>
      </c>
      <c r="H527">
        <f t="shared" si="48"/>
        <v>2.9329025278161062E-2</v>
      </c>
      <c r="I527">
        <f t="shared" si="49"/>
        <v>1.1019395249610479E-2</v>
      </c>
      <c r="J527">
        <f t="shared" si="50"/>
        <v>-2.1780708861286486E-2</v>
      </c>
      <c r="K527">
        <f t="shared" si="51"/>
        <v>4.5053345188115893E-2</v>
      </c>
      <c r="L527">
        <f t="shared" si="52"/>
        <v>-1.1893483761535085E-2</v>
      </c>
      <c r="M527">
        <f t="shared" si="53"/>
        <v>-1.5558010989568376E-3</v>
      </c>
    </row>
    <row r="528" spans="1:13" x14ac:dyDescent="0.2">
      <c r="A528" s="6">
        <v>45189</v>
      </c>
      <c r="B528" s="7">
        <v>43.49</v>
      </c>
      <c r="C528" s="7">
        <v>129.65</v>
      </c>
      <c r="D528" s="7">
        <v>302.10000000000002</v>
      </c>
      <c r="E528" s="7">
        <v>137.63</v>
      </c>
      <c r="F528" s="7">
        <v>52.15</v>
      </c>
      <c r="G528" s="7">
        <v>283.64</v>
      </c>
      <c r="H528">
        <f t="shared" si="48"/>
        <v>2.987386681513958E-2</v>
      </c>
      <c r="I528">
        <f t="shared" si="49"/>
        <v>-1.3407594065836788E-2</v>
      </c>
      <c r="J528">
        <f t="shared" si="50"/>
        <v>1.2423761310151842E-2</v>
      </c>
      <c r="K528">
        <f t="shared" si="51"/>
        <v>1.7148302376172372E-2</v>
      </c>
      <c r="L528">
        <f t="shared" si="52"/>
        <v>6.3480063128175347E-3</v>
      </c>
      <c r="M528">
        <f t="shared" si="53"/>
        <v>2.6689210304094876E-2</v>
      </c>
    </row>
    <row r="529" spans="1:13" x14ac:dyDescent="0.2">
      <c r="A529" s="6">
        <v>45188</v>
      </c>
      <c r="B529" s="7">
        <v>43.94</v>
      </c>
      <c r="C529" s="7">
        <v>127.69</v>
      </c>
      <c r="D529" s="7">
        <v>295.92</v>
      </c>
      <c r="E529" s="7">
        <v>139.97999999999999</v>
      </c>
      <c r="F529" s="7">
        <v>52.09</v>
      </c>
      <c r="G529" s="7">
        <v>285.83999999999997</v>
      </c>
      <c r="H529">
        <f t="shared" si="48"/>
        <v>1.0294040346917072E-2</v>
      </c>
      <c r="I529">
        <f t="shared" si="49"/>
        <v>-1.5233060548083736E-2</v>
      </c>
      <c r="J529">
        <f t="shared" si="50"/>
        <v>-2.0668940868427788E-2</v>
      </c>
      <c r="K529">
        <f t="shared" si="51"/>
        <v>1.6930630269952507E-2</v>
      </c>
      <c r="L529">
        <f t="shared" si="52"/>
        <v>-1.151189689681165E-3</v>
      </c>
      <c r="M529">
        <f t="shared" si="53"/>
        <v>7.726385279358372E-3</v>
      </c>
    </row>
    <row r="530" spans="1:13" x14ac:dyDescent="0.2">
      <c r="A530" s="6">
        <v>45187</v>
      </c>
      <c r="B530" s="7">
        <v>43.87</v>
      </c>
      <c r="C530" s="7">
        <v>130.21</v>
      </c>
      <c r="D530" s="7">
        <v>297.13</v>
      </c>
      <c r="E530" s="7">
        <v>140.38999999999999</v>
      </c>
      <c r="F530" s="7">
        <v>52.94</v>
      </c>
      <c r="G530" s="7">
        <v>287.10000000000002</v>
      </c>
      <c r="H530">
        <f t="shared" si="48"/>
        <v>-1.5943517783415058E-3</v>
      </c>
      <c r="I530">
        <f t="shared" si="49"/>
        <v>1.9543080304047313E-2</v>
      </c>
      <c r="J530">
        <f t="shared" si="50"/>
        <v>4.0806059489424361E-3</v>
      </c>
      <c r="K530">
        <f t="shared" si="51"/>
        <v>2.9247087224662433E-3</v>
      </c>
      <c r="L530">
        <f t="shared" si="52"/>
        <v>1.6186205041854987E-2</v>
      </c>
      <c r="M530">
        <f t="shared" si="53"/>
        <v>4.3983734118641067E-3</v>
      </c>
    </row>
    <row r="531" spans="1:13" x14ac:dyDescent="0.2">
      <c r="A531" s="6">
        <v>45184</v>
      </c>
      <c r="B531" s="7">
        <v>45.55</v>
      </c>
      <c r="C531" s="7">
        <v>129.36000000000001</v>
      </c>
      <c r="D531" s="7">
        <v>298.99</v>
      </c>
      <c r="E531" s="7">
        <v>144.72</v>
      </c>
      <c r="F531" s="7">
        <v>52.68</v>
      </c>
      <c r="G531" s="7">
        <v>285.52</v>
      </c>
      <c r="H531">
        <f t="shared" si="48"/>
        <v>3.7579908527844694E-2</v>
      </c>
      <c r="I531">
        <f t="shared" si="49"/>
        <v>-6.5493164717854912E-3</v>
      </c>
      <c r="J531">
        <f t="shared" si="50"/>
        <v>6.2403745422017253E-3</v>
      </c>
      <c r="K531">
        <f t="shared" si="51"/>
        <v>3.0376577103179991E-2</v>
      </c>
      <c r="L531">
        <f t="shared" si="52"/>
        <v>-4.9233199238749208E-3</v>
      </c>
      <c r="M531">
        <f t="shared" si="53"/>
        <v>-5.518507945113456E-3</v>
      </c>
    </row>
    <row r="532" spans="1:13" x14ac:dyDescent="0.2">
      <c r="A532" s="6">
        <v>45183</v>
      </c>
      <c r="B532" s="7">
        <v>45.46</v>
      </c>
      <c r="C532" s="7">
        <v>129.55000000000001</v>
      </c>
      <c r="D532" s="7">
        <v>297.25</v>
      </c>
      <c r="E532" s="7">
        <v>144.85</v>
      </c>
      <c r="F532" s="7">
        <v>52.93</v>
      </c>
      <c r="G532" s="7">
        <v>286.2</v>
      </c>
      <c r="H532">
        <f t="shared" si="48"/>
        <v>-1.9778052815701266E-3</v>
      </c>
      <c r="I532">
        <f t="shared" si="49"/>
        <v>1.4676917392675011E-3</v>
      </c>
      <c r="J532">
        <f t="shared" si="50"/>
        <v>-5.836592444451426E-3</v>
      </c>
      <c r="K532">
        <f t="shared" si="51"/>
        <v>8.9788312831977672E-4</v>
      </c>
      <c r="L532">
        <f t="shared" si="52"/>
        <v>4.7344089948159534E-3</v>
      </c>
      <c r="M532">
        <f t="shared" si="53"/>
        <v>2.3787879404456921E-3</v>
      </c>
    </row>
    <row r="533" spans="1:13" x14ac:dyDescent="0.2">
      <c r="A533" s="6">
        <v>45182</v>
      </c>
      <c r="B533" s="7">
        <v>44.84</v>
      </c>
      <c r="C533" s="7">
        <v>132.82</v>
      </c>
      <c r="D533" s="7">
        <v>293.92</v>
      </c>
      <c r="E533" s="7">
        <v>141.22999999999999</v>
      </c>
      <c r="F533" s="7">
        <v>53.11</v>
      </c>
      <c r="G533" s="7">
        <v>289.94</v>
      </c>
      <c r="H533">
        <f t="shared" si="48"/>
        <v>-1.3732220220437902E-2</v>
      </c>
      <c r="I533">
        <f t="shared" si="49"/>
        <v>2.4927921104448452E-2</v>
      </c>
      <c r="J533">
        <f t="shared" si="50"/>
        <v>-1.1265914104075644E-2</v>
      </c>
      <c r="K533">
        <f t="shared" si="51"/>
        <v>-2.5308957134386988E-2</v>
      </c>
      <c r="L533">
        <f t="shared" si="52"/>
        <v>3.3949485644116759E-3</v>
      </c>
      <c r="M533">
        <f t="shared" si="53"/>
        <v>1.2983137900400883E-2</v>
      </c>
    </row>
    <row r="534" spans="1:13" x14ac:dyDescent="0.2">
      <c r="A534" s="6">
        <v>45181</v>
      </c>
      <c r="B534" s="7">
        <v>45.15</v>
      </c>
      <c r="C534" s="7">
        <v>137.09</v>
      </c>
      <c r="D534" s="7">
        <v>297.83</v>
      </c>
      <c r="E534" s="7">
        <v>143.1</v>
      </c>
      <c r="F534" s="7">
        <v>52.88</v>
      </c>
      <c r="G534" s="7">
        <v>289.22000000000003</v>
      </c>
      <c r="H534">
        <f t="shared" si="48"/>
        <v>6.8896816590352586E-3</v>
      </c>
      <c r="I534">
        <f t="shared" si="49"/>
        <v>3.1642816335241422E-2</v>
      </c>
      <c r="J534">
        <f t="shared" si="50"/>
        <v>1.3215232460125228E-2</v>
      </c>
      <c r="K534">
        <f t="shared" si="51"/>
        <v>1.3153919481432736E-2</v>
      </c>
      <c r="L534">
        <f t="shared" si="52"/>
        <v>-4.3400388908768983E-3</v>
      </c>
      <c r="M534">
        <f t="shared" si="53"/>
        <v>-2.4863608361052505E-3</v>
      </c>
    </row>
    <row r="535" spans="1:13" x14ac:dyDescent="0.2">
      <c r="A535" s="6">
        <v>45180</v>
      </c>
      <c r="B535" s="7">
        <v>45.54</v>
      </c>
      <c r="C535" s="7">
        <v>137.26</v>
      </c>
      <c r="D535" s="7">
        <v>303.2</v>
      </c>
      <c r="E535" s="7">
        <v>138.22999999999999</v>
      </c>
      <c r="F535" s="7">
        <v>52.74</v>
      </c>
      <c r="G535" s="7">
        <v>290.19</v>
      </c>
      <c r="H535">
        <f t="shared" si="48"/>
        <v>8.6007807725991224E-3</v>
      </c>
      <c r="I535">
        <f t="shared" si="49"/>
        <v>1.2392930326796737E-3</v>
      </c>
      <c r="J535">
        <f t="shared" si="50"/>
        <v>1.7869799841275652E-2</v>
      </c>
      <c r="K535">
        <f t="shared" si="51"/>
        <v>-3.4624722086139363E-2</v>
      </c>
      <c r="L535">
        <f t="shared" si="52"/>
        <v>-2.6510146182902421E-3</v>
      </c>
      <c r="M535">
        <f t="shared" si="53"/>
        <v>3.3482366759191849E-3</v>
      </c>
    </row>
    <row r="536" spans="1:13" x14ac:dyDescent="0.2">
      <c r="A536" s="6">
        <v>45177</v>
      </c>
      <c r="B536" s="7">
        <v>46.21</v>
      </c>
      <c r="C536" s="7">
        <v>136.46</v>
      </c>
      <c r="D536" s="7">
        <v>300.7</v>
      </c>
      <c r="E536" s="7">
        <v>137.85</v>
      </c>
      <c r="F536" s="7">
        <v>53.39</v>
      </c>
      <c r="G536" s="7">
        <v>294.07</v>
      </c>
      <c r="H536">
        <f t="shared" si="48"/>
        <v>1.4605164246581421E-2</v>
      </c>
      <c r="I536">
        <f t="shared" si="49"/>
        <v>-5.84540609321088E-3</v>
      </c>
      <c r="J536">
        <f t="shared" si="50"/>
        <v>-8.2795637737332548E-3</v>
      </c>
      <c r="K536">
        <f t="shared" si="51"/>
        <v>-2.7528270064600892E-3</v>
      </c>
      <c r="L536">
        <f t="shared" si="52"/>
        <v>1.2249281586954201E-2</v>
      </c>
      <c r="M536">
        <f t="shared" si="53"/>
        <v>1.3281953374038565E-2</v>
      </c>
    </row>
    <row r="537" spans="1:13" x14ac:dyDescent="0.2">
      <c r="A537" s="6">
        <v>45175</v>
      </c>
      <c r="B537" s="7">
        <v>47.03</v>
      </c>
      <c r="C537" s="7">
        <v>137.15</v>
      </c>
      <c r="D537" s="7">
        <v>298.47000000000003</v>
      </c>
      <c r="E537" s="7">
        <v>135.36000000000001</v>
      </c>
      <c r="F537" s="7">
        <v>53.22</v>
      </c>
      <c r="G537" s="7">
        <v>297.62</v>
      </c>
      <c r="H537">
        <f t="shared" si="48"/>
        <v>1.7589471074781527E-2</v>
      </c>
      <c r="I537">
        <f t="shared" si="49"/>
        <v>5.0436859963347317E-3</v>
      </c>
      <c r="J537">
        <f t="shared" si="50"/>
        <v>-7.4436647251052649E-3</v>
      </c>
      <c r="K537">
        <f t="shared" si="51"/>
        <v>-1.8228241611892446E-2</v>
      </c>
      <c r="L537">
        <f t="shared" si="52"/>
        <v>-3.1891969625517237E-3</v>
      </c>
      <c r="M537">
        <f t="shared" si="53"/>
        <v>1.1999670765300306E-2</v>
      </c>
    </row>
    <row r="538" spans="1:13" x14ac:dyDescent="0.2">
      <c r="A538" s="6">
        <v>45175</v>
      </c>
      <c r="B538" s="7">
        <v>48.51</v>
      </c>
      <c r="C538" s="7">
        <v>135.77000000000001</v>
      </c>
      <c r="D538" s="7">
        <v>309.81</v>
      </c>
      <c r="E538" s="7">
        <v>137.27000000000001</v>
      </c>
      <c r="F538" s="7">
        <v>53.23</v>
      </c>
      <c r="G538" s="7">
        <v>300.13</v>
      </c>
      <c r="H538">
        <f t="shared" si="48"/>
        <v>3.0984266300168515E-2</v>
      </c>
      <c r="I538">
        <f t="shared" si="49"/>
        <v>-1.0112939771422315E-2</v>
      </c>
      <c r="J538">
        <f t="shared" si="50"/>
        <v>3.728978108204415E-2</v>
      </c>
      <c r="K538">
        <f t="shared" si="51"/>
        <v>1.4011893405655016E-2</v>
      </c>
      <c r="L538">
        <f t="shared" si="52"/>
        <v>1.878816351229138E-4</v>
      </c>
      <c r="M538">
        <f t="shared" si="53"/>
        <v>8.3982091258560116E-3</v>
      </c>
    </row>
    <row r="539" spans="1:13" x14ac:dyDescent="0.2">
      <c r="A539" s="6">
        <v>45174</v>
      </c>
      <c r="B539" s="7">
        <v>48.47</v>
      </c>
      <c r="C539" s="7">
        <v>134.41</v>
      </c>
      <c r="D539" s="7">
        <v>303.19</v>
      </c>
      <c r="E539" s="7">
        <v>138.12</v>
      </c>
      <c r="F539" s="7">
        <v>53.63</v>
      </c>
      <c r="G539" s="7">
        <v>304.04000000000002</v>
      </c>
      <c r="H539">
        <f t="shared" si="48"/>
        <v>-8.2491239984056291E-4</v>
      </c>
      <c r="I539">
        <f t="shared" si="49"/>
        <v>-1.0067447529133021E-2</v>
      </c>
      <c r="J539">
        <f t="shared" si="50"/>
        <v>-2.1599534657451385E-2</v>
      </c>
      <c r="K539">
        <f t="shared" si="51"/>
        <v>6.1730832582232538E-3</v>
      </c>
      <c r="L539">
        <f t="shared" si="52"/>
        <v>7.4864658101679365E-3</v>
      </c>
      <c r="M539">
        <f t="shared" si="53"/>
        <v>1.2943557570079726E-2</v>
      </c>
    </row>
    <row r="540" spans="1:13" x14ac:dyDescent="0.2">
      <c r="A540" s="6">
        <v>45170</v>
      </c>
      <c r="B540" s="7">
        <v>49.32</v>
      </c>
      <c r="C540" s="7">
        <v>135.97999999999999</v>
      </c>
      <c r="D540" s="7">
        <v>299.81</v>
      </c>
      <c r="E540" s="7">
        <v>138.01</v>
      </c>
      <c r="F540" s="7">
        <v>53.82</v>
      </c>
      <c r="G540" s="7">
        <v>311.83</v>
      </c>
      <c r="H540">
        <f t="shared" si="48"/>
        <v>1.7384628438859007E-2</v>
      </c>
      <c r="I540">
        <f t="shared" si="49"/>
        <v>1.1612986015256611E-2</v>
      </c>
      <c r="J540">
        <f t="shared" si="50"/>
        <v>-1.121073101137798E-2</v>
      </c>
      <c r="K540">
        <f t="shared" si="51"/>
        <v>-7.9672622184301205E-4</v>
      </c>
      <c r="L540">
        <f t="shared" si="52"/>
        <v>3.536532303925951E-3</v>
      </c>
      <c r="M540">
        <f t="shared" si="53"/>
        <v>2.5298895820190782E-2</v>
      </c>
    </row>
    <row r="541" spans="1:13" x14ac:dyDescent="0.2">
      <c r="A541" s="6">
        <v>45169</v>
      </c>
      <c r="B541" s="7">
        <v>49.23</v>
      </c>
      <c r="C541" s="7">
        <v>135.44999999999999</v>
      </c>
      <c r="D541" s="7">
        <v>305.68</v>
      </c>
      <c r="E541" s="7">
        <v>135.07</v>
      </c>
      <c r="F541" s="7">
        <v>53.6</v>
      </c>
      <c r="G541" s="7">
        <v>308.27999999999997</v>
      </c>
      <c r="H541">
        <f t="shared" si="48"/>
        <v>-1.8264845260344098E-3</v>
      </c>
      <c r="I541">
        <f t="shared" si="49"/>
        <v>-3.9052475672094944E-3</v>
      </c>
      <c r="J541">
        <f t="shared" si="50"/>
        <v>1.9389862456051659E-2</v>
      </c>
      <c r="K541">
        <f t="shared" si="51"/>
        <v>-2.1532983727275808E-2</v>
      </c>
      <c r="L541">
        <f t="shared" si="52"/>
        <v>-4.0960772220034565E-3</v>
      </c>
      <c r="M541">
        <f t="shared" si="53"/>
        <v>-1.1449706608238189E-2</v>
      </c>
    </row>
    <row r="542" spans="1:13" x14ac:dyDescent="0.2">
      <c r="A542" s="6">
        <v>45168</v>
      </c>
      <c r="B542" s="7">
        <v>48.75</v>
      </c>
      <c r="C542" s="7">
        <v>134.33000000000001</v>
      </c>
      <c r="D542" s="7">
        <v>296.06</v>
      </c>
      <c r="E542" s="7">
        <v>134.91</v>
      </c>
      <c r="F542" s="7">
        <v>53.59</v>
      </c>
      <c r="G542" s="7">
        <v>308.66000000000003</v>
      </c>
      <c r="H542">
        <f t="shared" si="48"/>
        <v>-9.7979963262529307E-3</v>
      </c>
      <c r="I542">
        <f t="shared" si="49"/>
        <v>-8.3031094561821211E-3</v>
      </c>
      <c r="J542">
        <f t="shared" si="50"/>
        <v>-3.1976666653298451E-2</v>
      </c>
      <c r="K542">
        <f t="shared" si="51"/>
        <v>-1.1852731219470121E-3</v>
      </c>
      <c r="L542">
        <f t="shared" si="52"/>
        <v>-1.8658456999739694E-4</v>
      </c>
      <c r="M542">
        <f t="shared" si="53"/>
        <v>1.2318865628931223E-3</v>
      </c>
    </row>
    <row r="543" spans="1:13" x14ac:dyDescent="0.2">
      <c r="A543" s="6">
        <v>45167</v>
      </c>
      <c r="B543" s="7">
        <v>46.8</v>
      </c>
      <c r="C543" s="7">
        <v>133.54</v>
      </c>
      <c r="D543" s="7">
        <v>296.83999999999997</v>
      </c>
      <c r="E543" s="7">
        <v>133.13999999999999</v>
      </c>
      <c r="F543" s="7">
        <v>53.53</v>
      </c>
      <c r="G543" s="7">
        <v>310.64</v>
      </c>
      <c r="H543">
        <f t="shared" si="48"/>
        <v>-4.0821994520255166E-2</v>
      </c>
      <c r="I543">
        <f t="shared" si="49"/>
        <v>-5.8984006451992576E-3</v>
      </c>
      <c r="J543">
        <f t="shared" si="50"/>
        <v>2.6311366165867314E-3</v>
      </c>
      <c r="K543">
        <f t="shared" si="51"/>
        <v>-1.3206683278168261E-2</v>
      </c>
      <c r="L543">
        <f t="shared" si="52"/>
        <v>-1.1202391014690663E-3</v>
      </c>
      <c r="M543">
        <f t="shared" si="53"/>
        <v>6.3943379507263197E-3</v>
      </c>
    </row>
    <row r="544" spans="1:13" x14ac:dyDescent="0.2">
      <c r="A544" s="6">
        <v>45166</v>
      </c>
      <c r="B544" s="7">
        <v>45.98</v>
      </c>
      <c r="C544" s="7">
        <v>134.84</v>
      </c>
      <c r="D544" s="7">
        <v>297.33999999999997</v>
      </c>
      <c r="E544" s="7">
        <v>133.26</v>
      </c>
      <c r="F544" s="7">
        <v>53.34</v>
      </c>
      <c r="G544" s="7">
        <v>310.95999999999998</v>
      </c>
      <c r="H544">
        <f t="shared" si="48"/>
        <v>-1.7676683588565615E-2</v>
      </c>
      <c r="I544">
        <f t="shared" si="49"/>
        <v>9.6878319361373248E-3</v>
      </c>
      <c r="J544">
        <f t="shared" si="50"/>
        <v>1.68299208327194E-3</v>
      </c>
      <c r="K544">
        <f t="shared" si="51"/>
        <v>9.0090096183345441E-4</v>
      </c>
      <c r="L544">
        <f t="shared" si="52"/>
        <v>-3.5557256514216775E-3</v>
      </c>
      <c r="M544">
        <f t="shared" si="53"/>
        <v>1.0296011205557889E-3</v>
      </c>
    </row>
    <row r="545" spans="1:13" x14ac:dyDescent="0.2">
      <c r="A545" s="6">
        <v>45163</v>
      </c>
      <c r="B545" s="7">
        <v>47.13</v>
      </c>
      <c r="C545" s="7">
        <v>134.72999999999999</v>
      </c>
      <c r="D545" s="7">
        <v>298.31</v>
      </c>
      <c r="E545" s="7">
        <v>131.84</v>
      </c>
      <c r="F545" s="7">
        <v>53.25</v>
      </c>
      <c r="G545" s="7">
        <v>310.68</v>
      </c>
      <c r="H545">
        <f t="shared" si="48"/>
        <v>2.4703221600604213E-2</v>
      </c>
      <c r="I545">
        <f t="shared" si="49"/>
        <v>-8.1611459810375625E-4</v>
      </c>
      <c r="J545">
        <f t="shared" si="50"/>
        <v>3.2569490722976144E-3</v>
      </c>
      <c r="K545">
        <f t="shared" si="51"/>
        <v>-1.0713040973229384E-2</v>
      </c>
      <c r="L545">
        <f t="shared" si="52"/>
        <v>-1.6887141643337775E-3</v>
      </c>
      <c r="M545">
        <f t="shared" si="53"/>
        <v>-9.0084299252106653E-4</v>
      </c>
    </row>
    <row r="546" spans="1:13" x14ac:dyDescent="0.2">
      <c r="A546" s="6">
        <v>45162</v>
      </c>
      <c r="B546" s="7">
        <v>47.08</v>
      </c>
      <c r="C546" s="7">
        <v>135.24</v>
      </c>
      <c r="D546" s="7">
        <v>294.56</v>
      </c>
      <c r="E546" s="7">
        <v>135.52000000000001</v>
      </c>
      <c r="F546" s="7">
        <v>52.59</v>
      </c>
      <c r="G546" s="7">
        <v>308.39</v>
      </c>
      <c r="H546">
        <f t="shared" si="48"/>
        <v>-1.0614585435636086E-3</v>
      </c>
      <c r="I546">
        <f t="shared" si="49"/>
        <v>3.7782020719290843E-3</v>
      </c>
      <c r="J546">
        <f t="shared" si="50"/>
        <v>-1.265049677273449E-2</v>
      </c>
      <c r="K546">
        <f t="shared" si="51"/>
        <v>2.7530164742582738E-2</v>
      </c>
      <c r="L546">
        <f t="shared" si="52"/>
        <v>-1.2471816988281609E-2</v>
      </c>
      <c r="M546">
        <f t="shared" si="53"/>
        <v>-7.3982278095180102E-3</v>
      </c>
    </row>
    <row r="547" spans="1:13" x14ac:dyDescent="0.2">
      <c r="A547" s="6">
        <v>45161</v>
      </c>
      <c r="B547" s="7">
        <v>45.63</v>
      </c>
      <c r="C547" s="7">
        <v>134.94999999999999</v>
      </c>
      <c r="D547" s="7">
        <v>294.08</v>
      </c>
      <c r="E547" s="7">
        <v>134.25</v>
      </c>
      <c r="F547" s="7">
        <v>52.2</v>
      </c>
      <c r="G547" s="7">
        <v>310.08</v>
      </c>
      <c r="H547">
        <f t="shared" si="48"/>
        <v>-3.1282887452764724E-2</v>
      </c>
      <c r="I547">
        <f t="shared" si="49"/>
        <v>-2.146638375671776E-3</v>
      </c>
      <c r="J547">
        <f t="shared" si="50"/>
        <v>-1.6308783174455747E-3</v>
      </c>
      <c r="K547">
        <f t="shared" si="51"/>
        <v>-9.4154975147703081E-3</v>
      </c>
      <c r="L547">
        <f t="shared" si="52"/>
        <v>-7.4434927126598195E-3</v>
      </c>
      <c r="M547">
        <f t="shared" si="53"/>
        <v>5.4651129604728205E-3</v>
      </c>
    </row>
    <row r="548" spans="1:13" x14ac:dyDescent="0.2">
      <c r="A548" s="6">
        <v>45160</v>
      </c>
      <c r="B548" s="7">
        <v>46.93</v>
      </c>
      <c r="C548" s="7">
        <v>133.65</v>
      </c>
      <c r="D548" s="7">
        <v>293.29000000000002</v>
      </c>
      <c r="E548" s="7">
        <v>134.68</v>
      </c>
      <c r="F548" s="7">
        <v>52.63</v>
      </c>
      <c r="G548" s="7">
        <v>315.08999999999997</v>
      </c>
      <c r="H548">
        <f t="shared" si="48"/>
        <v>2.8091734867015085E-2</v>
      </c>
      <c r="I548">
        <f t="shared" si="49"/>
        <v>-9.6798968790855512E-3</v>
      </c>
      <c r="J548">
        <f t="shared" si="50"/>
        <v>-2.689958548655226E-3</v>
      </c>
      <c r="K548">
        <f t="shared" si="51"/>
        <v>3.1978609038998082E-3</v>
      </c>
      <c r="L548">
        <f t="shared" si="52"/>
        <v>8.2038044770946037E-3</v>
      </c>
      <c r="M548">
        <f t="shared" si="53"/>
        <v>1.6027983600392218E-2</v>
      </c>
    </row>
    <row r="549" spans="1:13" x14ac:dyDescent="0.2">
      <c r="A549" s="6">
        <v>45159</v>
      </c>
      <c r="B549" s="7">
        <v>43.27</v>
      </c>
      <c r="C549" s="7">
        <v>130.11000000000001</v>
      </c>
      <c r="D549" s="7">
        <v>296.16000000000003</v>
      </c>
      <c r="E549" s="7">
        <v>133.22</v>
      </c>
      <c r="F549" s="7">
        <v>52.96</v>
      </c>
      <c r="G549" s="7">
        <v>312.45999999999998</v>
      </c>
      <c r="H549">
        <f t="shared" si="48"/>
        <v>-8.1197575569532804E-2</v>
      </c>
      <c r="I549">
        <f t="shared" si="49"/>
        <v>-2.6844196069543372E-2</v>
      </c>
      <c r="J549">
        <f t="shared" si="50"/>
        <v>9.7379682065204514E-3</v>
      </c>
      <c r="K549">
        <f t="shared" si="51"/>
        <v>-1.0899697307840378E-2</v>
      </c>
      <c r="L549">
        <f t="shared" si="52"/>
        <v>6.2506122630650697E-3</v>
      </c>
      <c r="M549">
        <f t="shared" si="53"/>
        <v>-8.381851319036647E-3</v>
      </c>
    </row>
    <row r="550" spans="1:13" x14ac:dyDescent="0.2">
      <c r="A550" s="6">
        <v>45155</v>
      </c>
      <c r="B550" s="7">
        <v>43.45</v>
      </c>
      <c r="C550" s="7">
        <v>128.88999999999999</v>
      </c>
      <c r="D550" s="7">
        <v>283.75</v>
      </c>
      <c r="E550" s="7">
        <v>135.07</v>
      </c>
      <c r="F550" s="7">
        <v>52.13</v>
      </c>
      <c r="G550" s="7">
        <v>312.77</v>
      </c>
      <c r="H550">
        <f t="shared" si="48"/>
        <v>4.1512974746076483E-3</v>
      </c>
      <c r="I550">
        <f t="shared" si="49"/>
        <v>-9.4209190986965403E-3</v>
      </c>
      <c r="J550">
        <f t="shared" si="50"/>
        <v>-4.2806280029574997E-2</v>
      </c>
      <c r="K550">
        <f t="shared" si="51"/>
        <v>1.3791265587639264E-2</v>
      </c>
      <c r="L550">
        <f t="shared" si="52"/>
        <v>-1.5796312848738218E-2</v>
      </c>
      <c r="M550">
        <f t="shared" si="53"/>
        <v>9.9163515955077715E-4</v>
      </c>
    </row>
    <row r="551" spans="1:13" x14ac:dyDescent="0.2">
      <c r="A551" s="6">
        <v>45154</v>
      </c>
      <c r="B551" s="7">
        <v>43.91</v>
      </c>
      <c r="C551" s="7">
        <v>131.46</v>
      </c>
      <c r="D551" s="7">
        <v>284.99</v>
      </c>
      <c r="E551" s="7">
        <v>137.66999999999999</v>
      </c>
      <c r="F551" s="7">
        <v>51.7</v>
      </c>
      <c r="G551" s="7">
        <v>309.62</v>
      </c>
      <c r="H551">
        <f t="shared" si="48"/>
        <v>1.0531232862224888E-2</v>
      </c>
      <c r="I551">
        <f t="shared" si="49"/>
        <v>1.9743295418742219E-2</v>
      </c>
      <c r="J551">
        <f t="shared" si="50"/>
        <v>4.3605231381515543E-3</v>
      </c>
      <c r="K551">
        <f t="shared" si="51"/>
        <v>1.9066354502178997E-2</v>
      </c>
      <c r="L551">
        <f t="shared" si="52"/>
        <v>-8.2828172656311053E-3</v>
      </c>
      <c r="M551">
        <f t="shared" si="53"/>
        <v>-1.0122357030988304E-2</v>
      </c>
    </row>
    <row r="552" spans="1:13" x14ac:dyDescent="0.2">
      <c r="A552" s="6">
        <v>45153</v>
      </c>
      <c r="B552" s="7">
        <v>43.72</v>
      </c>
      <c r="C552" s="7">
        <v>128.19999999999999</v>
      </c>
      <c r="D552" s="7">
        <v>292.44</v>
      </c>
      <c r="E552" s="7">
        <v>140.57</v>
      </c>
      <c r="F552" s="7">
        <v>51.4</v>
      </c>
      <c r="G552" s="7">
        <v>306.35000000000002</v>
      </c>
      <c r="H552">
        <f t="shared" si="48"/>
        <v>-4.3364212652882246E-3</v>
      </c>
      <c r="I552">
        <f t="shared" si="49"/>
        <v>-2.5111078348860678E-2</v>
      </c>
      <c r="J552">
        <f t="shared" si="50"/>
        <v>2.5805425491351276E-2</v>
      </c>
      <c r="K552">
        <f t="shared" si="51"/>
        <v>2.0846068268822713E-2</v>
      </c>
      <c r="L552">
        <f t="shared" si="52"/>
        <v>-5.8196090532641534E-3</v>
      </c>
      <c r="M552">
        <f t="shared" si="53"/>
        <v>-1.0617499940655806E-2</v>
      </c>
    </row>
    <row r="553" spans="1:13" x14ac:dyDescent="0.2">
      <c r="A553" s="6">
        <v>45152</v>
      </c>
      <c r="B553" s="7">
        <v>40.83</v>
      </c>
      <c r="C553" s="7">
        <v>127.49</v>
      </c>
      <c r="D553" s="7">
        <v>285.83999999999997</v>
      </c>
      <c r="E553" s="7">
        <v>138.41</v>
      </c>
      <c r="F553" s="7">
        <v>51.1</v>
      </c>
      <c r="G553" s="7">
        <v>303.49</v>
      </c>
      <c r="H553">
        <f t="shared" si="48"/>
        <v>-6.8388557976853406E-2</v>
      </c>
      <c r="I553">
        <f t="shared" si="49"/>
        <v>-5.5536143365387015E-3</v>
      </c>
      <c r="J553">
        <f t="shared" si="50"/>
        <v>-2.2827303709960875E-2</v>
      </c>
      <c r="K553">
        <f t="shared" si="51"/>
        <v>-1.5485290435063975E-2</v>
      </c>
      <c r="L553">
        <f t="shared" si="52"/>
        <v>-5.8536752514606527E-3</v>
      </c>
      <c r="M553">
        <f t="shared" si="53"/>
        <v>-9.3795781440984098E-3</v>
      </c>
    </row>
    <row r="554" spans="1:13" x14ac:dyDescent="0.2">
      <c r="A554" s="6">
        <v>45149</v>
      </c>
      <c r="B554" s="7">
        <v>42.36</v>
      </c>
      <c r="C554" s="7">
        <v>126.59</v>
      </c>
      <c r="D554" s="7">
        <v>288.12</v>
      </c>
      <c r="E554" s="7">
        <v>138.56</v>
      </c>
      <c r="F554" s="7">
        <v>51.5</v>
      </c>
      <c r="G554" s="7">
        <v>303.23</v>
      </c>
      <c r="H554">
        <f t="shared" si="48"/>
        <v>3.6787415401721313E-2</v>
      </c>
      <c r="I554">
        <f t="shared" si="49"/>
        <v>-7.0844125012939256E-3</v>
      </c>
      <c r="J554">
        <f t="shared" si="50"/>
        <v>7.9448463060080177E-3</v>
      </c>
      <c r="K554">
        <f t="shared" si="51"/>
        <v>1.0831499055144664E-3</v>
      </c>
      <c r="L554">
        <f t="shared" si="52"/>
        <v>7.7973104600317106E-3</v>
      </c>
      <c r="M554">
        <f t="shared" si="53"/>
        <v>-8.5706756301275945E-4</v>
      </c>
    </row>
    <row r="555" spans="1:13" x14ac:dyDescent="0.2">
      <c r="A555" s="6">
        <v>45148</v>
      </c>
      <c r="B555" s="7">
        <v>42.52</v>
      </c>
      <c r="C555" s="7">
        <v>129.03</v>
      </c>
      <c r="D555" s="7">
        <v>281.51</v>
      </c>
      <c r="E555" s="7">
        <v>137.85</v>
      </c>
      <c r="F555" s="7">
        <v>51.14</v>
      </c>
      <c r="G555" s="7">
        <v>306.52</v>
      </c>
      <c r="H555">
        <f t="shared" si="48"/>
        <v>3.7700327405416098E-3</v>
      </c>
      <c r="I555">
        <f t="shared" si="49"/>
        <v>1.9091417815017806E-2</v>
      </c>
      <c r="J555">
        <f t="shared" si="50"/>
        <v>-2.3209089093693062E-2</v>
      </c>
      <c r="K555">
        <f t="shared" si="51"/>
        <v>-5.1373073443193489E-3</v>
      </c>
      <c r="L555">
        <f t="shared" si="52"/>
        <v>-7.0148378066498844E-3</v>
      </c>
      <c r="M555">
        <f t="shared" si="53"/>
        <v>1.0791412637651052E-2</v>
      </c>
    </row>
    <row r="556" spans="1:13" x14ac:dyDescent="0.2">
      <c r="A556" s="6">
        <v>45147</v>
      </c>
      <c r="B556" s="7">
        <v>44.63</v>
      </c>
      <c r="C556" s="7">
        <v>127.82</v>
      </c>
      <c r="D556" s="7">
        <v>283.33999999999997</v>
      </c>
      <c r="E556" s="7">
        <v>139.94</v>
      </c>
      <c r="F556" s="7">
        <v>51.3</v>
      </c>
      <c r="G556" s="7">
        <v>305.01</v>
      </c>
      <c r="H556">
        <f t="shared" si="48"/>
        <v>4.8431725167431293E-2</v>
      </c>
      <c r="I556">
        <f t="shared" si="49"/>
        <v>-9.4219112416190128E-3</v>
      </c>
      <c r="J556">
        <f t="shared" si="50"/>
        <v>6.4796190237357901E-3</v>
      </c>
      <c r="K556">
        <f t="shared" si="51"/>
        <v>1.5047621847944915E-2</v>
      </c>
      <c r="L556">
        <f t="shared" si="52"/>
        <v>3.1237823136832702E-3</v>
      </c>
      <c r="M556">
        <f t="shared" si="53"/>
        <v>-4.9384431470241999E-3</v>
      </c>
    </row>
    <row r="557" spans="1:13" x14ac:dyDescent="0.2">
      <c r="A557" s="6">
        <v>45146</v>
      </c>
      <c r="B557" s="7">
        <v>45.38</v>
      </c>
      <c r="C557" s="7">
        <v>128.88999999999999</v>
      </c>
      <c r="D557" s="7">
        <v>292.49</v>
      </c>
      <c r="E557" s="7">
        <v>142.22</v>
      </c>
      <c r="F557" s="7">
        <v>51.44</v>
      </c>
      <c r="G557" s="7">
        <v>304.61</v>
      </c>
      <c r="H557">
        <f t="shared" si="48"/>
        <v>1.6665200710517213E-2</v>
      </c>
      <c r="I557">
        <f t="shared" si="49"/>
        <v>8.3363031945524625E-3</v>
      </c>
      <c r="J557">
        <f t="shared" si="50"/>
        <v>3.1782888102094259E-2</v>
      </c>
      <c r="K557">
        <f t="shared" si="51"/>
        <v>1.6161395137621194E-2</v>
      </c>
      <c r="L557">
        <f t="shared" si="52"/>
        <v>2.7253277526401304E-3</v>
      </c>
      <c r="M557">
        <f t="shared" si="53"/>
        <v>-1.3122930921024649E-3</v>
      </c>
    </row>
    <row r="558" spans="1:13" x14ac:dyDescent="0.2">
      <c r="A558" s="6">
        <v>45145</v>
      </c>
      <c r="B558" s="7">
        <v>44.65</v>
      </c>
      <c r="C558" s="7">
        <v>130.43</v>
      </c>
      <c r="D558" s="7">
        <v>300.10000000000002</v>
      </c>
      <c r="E558" s="7">
        <v>139.57</v>
      </c>
      <c r="F558" s="7">
        <v>50.71</v>
      </c>
      <c r="G558" s="7">
        <v>307.73</v>
      </c>
      <c r="H558">
        <f t="shared" si="48"/>
        <v>-1.6217172029187724E-2</v>
      </c>
      <c r="I558">
        <f t="shared" si="49"/>
        <v>1.1877356965503783E-2</v>
      </c>
      <c r="J558">
        <f t="shared" si="50"/>
        <v>2.56852743930224E-2</v>
      </c>
      <c r="K558">
        <f t="shared" si="51"/>
        <v>-1.8808886934819004E-2</v>
      </c>
      <c r="L558">
        <f t="shared" si="52"/>
        <v>-1.4292950122436159E-2</v>
      </c>
      <c r="M558">
        <f t="shared" si="53"/>
        <v>1.0190505274901753E-2</v>
      </c>
    </row>
    <row r="559" spans="1:13" x14ac:dyDescent="0.2">
      <c r="A559" s="6">
        <v>45142</v>
      </c>
      <c r="B559" s="7">
        <v>44.48</v>
      </c>
      <c r="C559" s="7">
        <v>128.66999999999999</v>
      </c>
      <c r="D559" s="7">
        <v>304.31</v>
      </c>
      <c r="E559" s="7">
        <v>128.91</v>
      </c>
      <c r="F559" s="7">
        <v>51.87</v>
      </c>
      <c r="G559" s="7">
        <v>307.64</v>
      </c>
      <c r="H559">
        <f t="shared" si="48"/>
        <v>-3.8146573801811929E-3</v>
      </c>
      <c r="I559">
        <f t="shared" si="49"/>
        <v>-1.3585697185293063E-2</v>
      </c>
      <c r="J559">
        <f t="shared" si="50"/>
        <v>1.3931166223584025E-2</v>
      </c>
      <c r="K559">
        <f t="shared" si="51"/>
        <v>-7.9451781065539517E-2</v>
      </c>
      <c r="L559">
        <f t="shared" si="52"/>
        <v>2.261745855638107E-2</v>
      </c>
      <c r="M559">
        <f t="shared" si="53"/>
        <v>-2.9250694912566835E-4</v>
      </c>
    </row>
    <row r="560" spans="1:13" x14ac:dyDescent="0.2">
      <c r="A560" s="6">
        <v>45141</v>
      </c>
      <c r="B560" s="7">
        <v>44.24</v>
      </c>
      <c r="C560" s="7">
        <v>128.80000000000001</v>
      </c>
      <c r="D560" s="7">
        <v>299.79000000000002</v>
      </c>
      <c r="E560" s="7">
        <v>128.21</v>
      </c>
      <c r="F560" s="7">
        <v>51.85</v>
      </c>
      <c r="G560" s="7">
        <v>313.05</v>
      </c>
      <c r="H560">
        <f t="shared" si="48"/>
        <v>-5.4102927282474317E-3</v>
      </c>
      <c r="I560">
        <f t="shared" si="49"/>
        <v>1.0098264733547305E-3</v>
      </c>
      <c r="J560">
        <f t="shared" si="50"/>
        <v>-1.4964689128097815E-2</v>
      </c>
      <c r="K560">
        <f t="shared" si="51"/>
        <v>-5.4449418904040188E-3</v>
      </c>
      <c r="L560">
        <f t="shared" si="52"/>
        <v>-3.8565368777242914E-4</v>
      </c>
      <c r="M560">
        <f t="shared" si="53"/>
        <v>1.7432654002466547E-2</v>
      </c>
    </row>
    <row r="561" spans="1:13" x14ac:dyDescent="0.2">
      <c r="A561" s="6">
        <v>45140</v>
      </c>
      <c r="B561" s="7">
        <v>46.47</v>
      </c>
      <c r="C561" s="7">
        <v>128.77000000000001</v>
      </c>
      <c r="D561" s="7">
        <v>303.87</v>
      </c>
      <c r="E561" s="7">
        <v>131.69</v>
      </c>
      <c r="F561" s="7">
        <v>52.11</v>
      </c>
      <c r="G561" s="7">
        <v>312.20999999999998</v>
      </c>
      <c r="H561">
        <f t="shared" si="48"/>
        <v>4.9177585882807608E-2</v>
      </c>
      <c r="I561">
        <f t="shared" si="49"/>
        <v>-2.3294638456079842E-4</v>
      </c>
      <c r="J561">
        <f t="shared" si="50"/>
        <v>1.3517748825007749E-2</v>
      </c>
      <c r="K561">
        <f t="shared" si="51"/>
        <v>2.6781131157519459E-2</v>
      </c>
      <c r="L561">
        <f t="shared" si="52"/>
        <v>5.0019342455868213E-3</v>
      </c>
      <c r="M561">
        <f t="shared" si="53"/>
        <v>-2.6868838734418047E-3</v>
      </c>
    </row>
    <row r="562" spans="1:13" x14ac:dyDescent="0.2">
      <c r="A562" s="6">
        <v>45139</v>
      </c>
      <c r="B562" s="7">
        <v>46.7</v>
      </c>
      <c r="C562" s="7">
        <v>130.5</v>
      </c>
      <c r="D562" s="7">
        <v>303.33999999999997</v>
      </c>
      <c r="E562" s="7">
        <v>133.68</v>
      </c>
      <c r="F562" s="7">
        <v>52.51</v>
      </c>
      <c r="G562" s="7">
        <v>310.14999999999998</v>
      </c>
      <c r="H562">
        <f t="shared" si="48"/>
        <v>4.93722157796481E-3</v>
      </c>
      <c r="I562">
        <f t="shared" si="49"/>
        <v>1.3345359477055542E-2</v>
      </c>
      <c r="J562">
        <f t="shared" si="50"/>
        <v>-1.7456897435647733E-3</v>
      </c>
      <c r="K562">
        <f t="shared" si="51"/>
        <v>1.4998208565009653E-2</v>
      </c>
      <c r="L562">
        <f t="shared" si="52"/>
        <v>7.6467587286445761E-3</v>
      </c>
      <c r="M562">
        <f t="shared" si="53"/>
        <v>-6.6199868987512483E-3</v>
      </c>
    </row>
    <row r="563" spans="1:13" x14ac:dyDescent="0.2">
      <c r="A563" s="6">
        <v>45135</v>
      </c>
      <c r="B563" s="7">
        <v>45.87</v>
      </c>
      <c r="C563" s="7">
        <v>127.23</v>
      </c>
      <c r="D563" s="7">
        <v>314.62</v>
      </c>
      <c r="E563" s="7">
        <v>128.25</v>
      </c>
      <c r="F563" s="7">
        <v>52.2</v>
      </c>
      <c r="G563" s="7">
        <v>309.63</v>
      </c>
      <c r="H563">
        <f t="shared" si="48"/>
        <v>-1.7932856065771139E-2</v>
      </c>
      <c r="I563">
        <f t="shared" si="49"/>
        <v>-2.5376754608138995E-2</v>
      </c>
      <c r="J563">
        <f t="shared" si="50"/>
        <v>3.6511272771107973E-2</v>
      </c>
      <c r="K563">
        <f t="shared" si="51"/>
        <v>-4.1467400236259423E-2</v>
      </c>
      <c r="L563">
        <f t="shared" si="52"/>
        <v>-5.9211327611747508E-3</v>
      </c>
      <c r="M563">
        <f t="shared" si="53"/>
        <v>-1.6780151731748093E-3</v>
      </c>
    </row>
    <row r="564" spans="1:13" x14ac:dyDescent="0.2">
      <c r="A564" s="6">
        <v>45134</v>
      </c>
      <c r="B564" s="7">
        <v>45.42</v>
      </c>
      <c r="C564" s="7">
        <v>127.57</v>
      </c>
      <c r="D564" s="7">
        <v>308.83</v>
      </c>
      <c r="E564" s="7">
        <v>128.15</v>
      </c>
      <c r="F564" s="7">
        <v>52.23</v>
      </c>
      <c r="G564" s="7">
        <v>308.52</v>
      </c>
      <c r="H564">
        <f t="shared" si="48"/>
        <v>-9.858771931668113E-3</v>
      </c>
      <c r="I564">
        <f t="shared" si="49"/>
        <v>2.6687613955896283E-3</v>
      </c>
      <c r="J564">
        <f t="shared" si="50"/>
        <v>-1.8574597703451195E-2</v>
      </c>
      <c r="K564">
        <f t="shared" si="51"/>
        <v>-7.8003124079877712E-4</v>
      </c>
      <c r="L564">
        <f t="shared" si="52"/>
        <v>5.7454755961431269E-4</v>
      </c>
      <c r="M564">
        <f t="shared" si="53"/>
        <v>-3.5913651801532409E-3</v>
      </c>
    </row>
    <row r="565" spans="1:13" x14ac:dyDescent="0.2">
      <c r="A565" s="6">
        <v>45133</v>
      </c>
      <c r="B565" s="7">
        <v>45.65</v>
      </c>
      <c r="C565" s="7">
        <v>127.5</v>
      </c>
      <c r="D565" s="7">
        <v>311.27</v>
      </c>
      <c r="E565" s="7">
        <v>129.13</v>
      </c>
      <c r="F565" s="7">
        <v>52.14</v>
      </c>
      <c r="G565" s="7">
        <v>308.14</v>
      </c>
      <c r="H565">
        <f t="shared" si="48"/>
        <v>5.0510703635650023E-3</v>
      </c>
      <c r="I565">
        <f t="shared" si="49"/>
        <v>-5.4886895171776784E-4</v>
      </c>
      <c r="J565">
        <f t="shared" si="50"/>
        <v>7.8697390517277373E-3</v>
      </c>
      <c r="K565">
        <f t="shared" si="51"/>
        <v>7.6181960484800488E-3</v>
      </c>
      <c r="L565">
        <f t="shared" si="52"/>
        <v>-1.7246339428516561E-3</v>
      </c>
      <c r="M565">
        <f t="shared" si="53"/>
        <v>-1.2324459121694678E-3</v>
      </c>
    </row>
    <row r="566" spans="1:13" x14ac:dyDescent="0.2">
      <c r="A566" s="6">
        <v>45132</v>
      </c>
      <c r="B566" s="7">
        <v>44.58</v>
      </c>
      <c r="C566" s="7">
        <v>130.65</v>
      </c>
      <c r="D566" s="7">
        <v>312.38</v>
      </c>
      <c r="E566" s="7">
        <v>128.80000000000001</v>
      </c>
      <c r="F566" s="7">
        <v>52.09</v>
      </c>
      <c r="G566" s="7">
        <v>309.42</v>
      </c>
      <c r="H566">
        <f t="shared" si="48"/>
        <v>-2.3718279083254735E-2</v>
      </c>
      <c r="I566">
        <f t="shared" si="49"/>
        <v>2.4405627368140614E-2</v>
      </c>
      <c r="J566">
        <f t="shared" si="50"/>
        <v>3.5596926869410016E-3</v>
      </c>
      <c r="K566">
        <f t="shared" si="51"/>
        <v>-2.5588351883068829E-3</v>
      </c>
      <c r="L566">
        <f t="shared" si="52"/>
        <v>-9.5941674825541687E-4</v>
      </c>
      <c r="M566">
        <f t="shared" si="53"/>
        <v>4.1453521372936571E-3</v>
      </c>
    </row>
    <row r="567" spans="1:13" x14ac:dyDescent="0.2">
      <c r="A567" s="6">
        <v>45131</v>
      </c>
      <c r="B567" s="7">
        <v>44.28</v>
      </c>
      <c r="C567" s="7">
        <v>131.81</v>
      </c>
      <c r="D567" s="7">
        <v>320.73</v>
      </c>
      <c r="E567" s="7">
        <v>130</v>
      </c>
      <c r="F567" s="7">
        <v>51.39</v>
      </c>
      <c r="G567" s="7">
        <v>306.83999999999997</v>
      </c>
      <c r="H567">
        <f t="shared" si="48"/>
        <v>-6.7522201172865587E-3</v>
      </c>
      <c r="I567">
        <f t="shared" si="49"/>
        <v>8.8394997577528889E-3</v>
      </c>
      <c r="J567">
        <f t="shared" si="50"/>
        <v>2.6379252263941874E-2</v>
      </c>
      <c r="K567">
        <f t="shared" si="51"/>
        <v>9.2736367853290327E-3</v>
      </c>
      <c r="L567">
        <f t="shared" si="52"/>
        <v>-1.3529390752962042E-2</v>
      </c>
      <c r="M567">
        <f t="shared" si="53"/>
        <v>-8.3731381998271986E-3</v>
      </c>
    </row>
    <row r="568" spans="1:13" x14ac:dyDescent="0.2">
      <c r="A568" s="6">
        <v>45128</v>
      </c>
      <c r="B568" s="7">
        <v>45.49</v>
      </c>
      <c r="C568" s="7">
        <v>131.66999999999999</v>
      </c>
      <c r="D568" s="7">
        <v>316.64999999999998</v>
      </c>
      <c r="E568" s="7">
        <v>129.96</v>
      </c>
      <c r="F568" s="7">
        <v>51.69</v>
      </c>
      <c r="G568" s="7">
        <v>310.06</v>
      </c>
      <c r="H568">
        <f t="shared" si="48"/>
        <v>2.6959413741476583E-2</v>
      </c>
      <c r="I568">
        <f t="shared" si="49"/>
        <v>-1.0626993561221232E-3</v>
      </c>
      <c r="J568">
        <f t="shared" si="50"/>
        <v>-1.2802584731079076E-2</v>
      </c>
      <c r="K568">
        <f t="shared" si="51"/>
        <v>-3.0773965468278988E-4</v>
      </c>
      <c r="L568">
        <f t="shared" si="52"/>
        <v>5.8207382038096443E-3</v>
      </c>
      <c r="M568">
        <f t="shared" si="53"/>
        <v>1.0439388047120666E-2</v>
      </c>
    </row>
    <row r="569" spans="1:13" x14ac:dyDescent="0.2">
      <c r="A569" s="6">
        <v>45127</v>
      </c>
      <c r="B569" s="7">
        <v>47.04</v>
      </c>
      <c r="C569" s="7">
        <v>128.51</v>
      </c>
      <c r="D569" s="7">
        <v>323.49</v>
      </c>
      <c r="E569" s="7">
        <v>135.36000000000001</v>
      </c>
      <c r="F569" s="7">
        <v>51.68</v>
      </c>
      <c r="G569" s="7">
        <v>308.79000000000002</v>
      </c>
      <c r="H569">
        <f t="shared" si="48"/>
        <v>3.3505782008458738E-2</v>
      </c>
      <c r="I569">
        <f t="shared" si="49"/>
        <v>-2.4292070049202492E-2</v>
      </c>
      <c r="J569">
        <f t="shared" si="50"/>
        <v>2.1371138599651372E-2</v>
      </c>
      <c r="K569">
        <f t="shared" si="51"/>
        <v>4.0711185057013641E-2</v>
      </c>
      <c r="L569">
        <f t="shared" si="52"/>
        <v>-1.9347973360145032E-4</v>
      </c>
      <c r="M569">
        <f t="shared" si="53"/>
        <v>-4.1043929316383013E-3</v>
      </c>
    </row>
    <row r="570" spans="1:13" x14ac:dyDescent="0.2">
      <c r="A570" s="6">
        <v>45126</v>
      </c>
      <c r="B570" s="7">
        <v>47.46</v>
      </c>
      <c r="C570" s="7">
        <v>128.38</v>
      </c>
      <c r="D570" s="7">
        <v>309.8</v>
      </c>
      <c r="E570" s="7">
        <v>132.83000000000001</v>
      </c>
      <c r="F570" s="7">
        <v>51.64</v>
      </c>
      <c r="G570" s="7">
        <v>312.14</v>
      </c>
      <c r="H570">
        <f t="shared" si="48"/>
        <v>8.8889474172459942E-3</v>
      </c>
      <c r="I570">
        <f t="shared" si="49"/>
        <v>-1.0121064354176705E-3</v>
      </c>
      <c r="J570">
        <f t="shared" si="50"/>
        <v>-4.3241273579322378E-2</v>
      </c>
      <c r="K570">
        <f t="shared" si="51"/>
        <v>-1.8867780713501231E-2</v>
      </c>
      <c r="L570">
        <f t="shared" si="52"/>
        <v>-7.7429349590466836E-4</v>
      </c>
      <c r="M570">
        <f t="shared" si="53"/>
        <v>1.0790370907829789E-2</v>
      </c>
    </row>
    <row r="571" spans="1:13" x14ac:dyDescent="0.2">
      <c r="A571" s="6">
        <v>45125</v>
      </c>
      <c r="B571" s="7">
        <v>46.43</v>
      </c>
      <c r="C571" s="7">
        <v>121.37</v>
      </c>
      <c r="D571" s="7">
        <v>296.74</v>
      </c>
      <c r="E571" s="7">
        <v>133.56</v>
      </c>
      <c r="F571" s="7">
        <v>51.88</v>
      </c>
      <c r="G571" s="7">
        <v>313.81</v>
      </c>
      <c r="H571">
        <f t="shared" si="48"/>
        <v>-2.1941448975787148E-2</v>
      </c>
      <c r="I571">
        <f t="shared" si="49"/>
        <v>-5.6150884765361925E-2</v>
      </c>
      <c r="J571">
        <f t="shared" si="50"/>
        <v>-4.3070593460120689E-2</v>
      </c>
      <c r="K571">
        <f t="shared" si="51"/>
        <v>5.4806999310417527E-3</v>
      </c>
      <c r="L571">
        <f t="shared" si="52"/>
        <v>4.6367934698015251E-3</v>
      </c>
      <c r="M571">
        <f t="shared" si="53"/>
        <v>5.3359021082540143E-3</v>
      </c>
    </row>
    <row r="572" spans="1:13" x14ac:dyDescent="0.2">
      <c r="A572" s="6">
        <v>45124</v>
      </c>
      <c r="B572" s="7">
        <v>45.44</v>
      </c>
      <c r="C572" s="7">
        <v>120.7</v>
      </c>
      <c r="D572" s="7">
        <v>292.67</v>
      </c>
      <c r="E572" s="7">
        <v>134.68</v>
      </c>
      <c r="F572" s="7">
        <v>51.9</v>
      </c>
      <c r="G572" s="7">
        <v>311.49</v>
      </c>
      <c r="H572">
        <f t="shared" si="48"/>
        <v>-2.155302761893442E-2</v>
      </c>
      <c r="I572">
        <f t="shared" si="49"/>
        <v>-5.5356030147843223E-3</v>
      </c>
      <c r="J572">
        <f t="shared" si="50"/>
        <v>-1.3810640098860599E-2</v>
      </c>
      <c r="K572">
        <f t="shared" si="51"/>
        <v>8.3507792174198885E-3</v>
      </c>
      <c r="L572">
        <f t="shared" si="52"/>
        <v>3.8543072359976157E-4</v>
      </c>
      <c r="M572">
        <f t="shared" si="53"/>
        <v>-7.4204722391891182E-3</v>
      </c>
    </row>
    <row r="573" spans="1:13" x14ac:dyDescent="0.2">
      <c r="A573" s="6">
        <v>45121</v>
      </c>
      <c r="B573" s="7">
        <v>45.94</v>
      </c>
      <c r="C573" s="7">
        <v>119.2</v>
      </c>
      <c r="D573" s="7">
        <v>289.82</v>
      </c>
      <c r="E573" s="7">
        <v>134.30000000000001</v>
      </c>
      <c r="F573" s="7">
        <v>51.66</v>
      </c>
      <c r="G573" s="7">
        <v>309.93</v>
      </c>
      <c r="H573">
        <f t="shared" si="48"/>
        <v>1.0943422848056227E-2</v>
      </c>
      <c r="I573">
        <f t="shared" si="49"/>
        <v>-1.2505373472236429E-2</v>
      </c>
      <c r="J573">
        <f t="shared" si="50"/>
        <v>-9.7856538060089523E-3</v>
      </c>
      <c r="K573">
        <f t="shared" si="51"/>
        <v>-2.825490763681866E-3</v>
      </c>
      <c r="L573">
        <f t="shared" si="52"/>
        <v>-4.635002504148519E-3</v>
      </c>
      <c r="M573">
        <f t="shared" si="53"/>
        <v>-5.0207694540085508E-3</v>
      </c>
    </row>
    <row r="574" spans="1:13" x14ac:dyDescent="0.2">
      <c r="A574" s="6">
        <v>45120</v>
      </c>
      <c r="B574" s="7">
        <v>43.87</v>
      </c>
      <c r="C574" s="7">
        <v>118.38</v>
      </c>
      <c r="D574" s="7">
        <v>292.45999999999998</v>
      </c>
      <c r="E574" s="7">
        <v>130.80000000000001</v>
      </c>
      <c r="F574" s="7">
        <v>51.85</v>
      </c>
      <c r="G574" s="7">
        <v>309.81</v>
      </c>
      <c r="H574">
        <f t="shared" si="48"/>
        <v>-4.6105482082829614E-2</v>
      </c>
      <c r="I574">
        <f t="shared" si="49"/>
        <v>-6.9029653686704211E-3</v>
      </c>
      <c r="J574">
        <f t="shared" si="50"/>
        <v>9.0678645659548716E-3</v>
      </c>
      <c r="K574">
        <f t="shared" si="51"/>
        <v>-2.6406664506093604E-2</v>
      </c>
      <c r="L574">
        <f t="shared" si="52"/>
        <v>3.6711470078420565E-3</v>
      </c>
      <c r="M574">
        <f t="shared" si="53"/>
        <v>-3.8725917804143114E-4</v>
      </c>
    </row>
    <row r="575" spans="1:13" x14ac:dyDescent="0.2">
      <c r="A575" s="6">
        <v>45119</v>
      </c>
      <c r="B575" s="7">
        <v>42.37</v>
      </c>
      <c r="C575" s="7">
        <v>121.19</v>
      </c>
      <c r="D575" s="7">
        <v>300.67</v>
      </c>
      <c r="E575" s="7">
        <v>128.78</v>
      </c>
      <c r="F575" s="7">
        <v>51.66</v>
      </c>
      <c r="G575" s="7">
        <v>305.62</v>
      </c>
      <c r="H575">
        <f t="shared" si="48"/>
        <v>-3.4790150539654764E-2</v>
      </c>
      <c r="I575">
        <f t="shared" si="49"/>
        <v>2.345977271781716E-2</v>
      </c>
      <c r="J575">
        <f t="shared" si="50"/>
        <v>2.7685412623827673E-2</v>
      </c>
      <c r="K575">
        <f t="shared" si="51"/>
        <v>-1.5563916913060973E-2</v>
      </c>
      <c r="L575">
        <f t="shared" si="52"/>
        <v>-3.6711470078420335E-3</v>
      </c>
      <c r="M575">
        <f t="shared" si="53"/>
        <v>-1.3616706174311146E-2</v>
      </c>
    </row>
    <row r="576" spans="1:13" x14ac:dyDescent="0.2">
      <c r="A576" s="6">
        <v>45118</v>
      </c>
      <c r="B576" s="7">
        <v>42.15</v>
      </c>
      <c r="C576" s="7">
        <v>122.91</v>
      </c>
      <c r="D576" s="7">
        <v>314.07</v>
      </c>
      <c r="E576" s="7">
        <v>127.13</v>
      </c>
      <c r="F576" s="7">
        <v>51.7</v>
      </c>
      <c r="G576" s="7">
        <v>305.60000000000002</v>
      </c>
      <c r="H576">
        <f t="shared" si="48"/>
        <v>-5.2058801906033729E-3</v>
      </c>
      <c r="I576">
        <f t="shared" si="49"/>
        <v>1.4092818246493437E-2</v>
      </c>
      <c r="J576">
        <f t="shared" si="50"/>
        <v>4.3602573191812523E-2</v>
      </c>
      <c r="K576">
        <f t="shared" si="51"/>
        <v>-1.2895337148006444E-2</v>
      </c>
      <c r="L576">
        <f t="shared" si="52"/>
        <v>7.7399384668908131E-4</v>
      </c>
      <c r="M576">
        <f t="shared" si="53"/>
        <v>-6.5442884745622632E-5</v>
      </c>
    </row>
    <row r="577" spans="1:13" x14ac:dyDescent="0.2">
      <c r="A577" s="6">
        <v>45117</v>
      </c>
      <c r="B577" s="7">
        <v>42.47</v>
      </c>
      <c r="C577" s="7">
        <v>123.8</v>
      </c>
      <c r="D577" s="7">
        <v>310.14</v>
      </c>
      <c r="E577" s="7">
        <v>129.78</v>
      </c>
      <c r="F577" s="7">
        <v>51.4</v>
      </c>
      <c r="G577" s="7">
        <v>301.24</v>
      </c>
      <c r="H577">
        <f t="shared" si="48"/>
        <v>7.5632598773152622E-3</v>
      </c>
      <c r="I577">
        <f t="shared" si="49"/>
        <v>7.2149800236063029E-3</v>
      </c>
      <c r="J577">
        <f t="shared" si="50"/>
        <v>-1.2592082563370332E-2</v>
      </c>
      <c r="K577">
        <f t="shared" si="51"/>
        <v>2.0630524230991456E-2</v>
      </c>
      <c r="L577">
        <f t="shared" si="52"/>
        <v>-5.8196090532641534E-3</v>
      </c>
      <c r="M577">
        <f t="shared" si="53"/>
        <v>-1.4369768059214505E-2</v>
      </c>
    </row>
    <row r="578" spans="1:13" x14ac:dyDescent="0.2">
      <c r="A578" s="6">
        <v>45114</v>
      </c>
      <c r="B578" s="7">
        <v>42.07</v>
      </c>
      <c r="C578" s="7">
        <v>124.56</v>
      </c>
      <c r="D578" s="7">
        <v>308.72000000000003</v>
      </c>
      <c r="E578" s="7">
        <v>128.36000000000001</v>
      </c>
      <c r="F578" s="7">
        <v>51.11</v>
      </c>
      <c r="G578" s="7">
        <v>299.94</v>
      </c>
      <c r="H578">
        <f t="shared" si="48"/>
        <v>-9.4630467227502044E-3</v>
      </c>
      <c r="I578">
        <f t="shared" si="49"/>
        <v>6.1201672752472271E-3</v>
      </c>
      <c r="J578">
        <f t="shared" si="50"/>
        <v>-4.5890912066395492E-3</v>
      </c>
      <c r="K578">
        <f t="shared" si="51"/>
        <v>-1.1001892951366174E-2</v>
      </c>
      <c r="L578">
        <f t="shared" si="52"/>
        <v>-5.657999680931205E-3</v>
      </c>
      <c r="M578">
        <f t="shared" si="53"/>
        <v>-4.3248345796170233E-3</v>
      </c>
    </row>
    <row r="579" spans="1:13" x14ac:dyDescent="0.2">
      <c r="A579" s="6">
        <v>45113</v>
      </c>
      <c r="B579" s="7">
        <v>42.29</v>
      </c>
      <c r="C579" s="7">
        <v>123.69</v>
      </c>
      <c r="D579" s="7">
        <v>306.98</v>
      </c>
      <c r="E579" s="7">
        <v>130.38</v>
      </c>
      <c r="F579" s="7">
        <v>50.18</v>
      </c>
      <c r="G579" s="7">
        <v>300.31</v>
      </c>
      <c r="H579">
        <f t="shared" si="48"/>
        <v>5.2157538819676283E-3</v>
      </c>
      <c r="I579">
        <f t="shared" si="49"/>
        <v>-7.0090921388246477E-3</v>
      </c>
      <c r="J579">
        <f t="shared" si="50"/>
        <v>-5.6521183441013076E-3</v>
      </c>
      <c r="K579">
        <f t="shared" si="51"/>
        <v>1.5614447254736936E-2</v>
      </c>
      <c r="L579">
        <f t="shared" si="52"/>
        <v>-1.8363631841911959E-2</v>
      </c>
      <c r="M579">
        <f t="shared" si="53"/>
        <v>1.2328198146168944E-3</v>
      </c>
    </row>
    <row r="580" spans="1:13" x14ac:dyDescent="0.2">
      <c r="A580" s="6">
        <v>45112</v>
      </c>
      <c r="B580" s="7">
        <v>42.38</v>
      </c>
      <c r="C580" s="7">
        <v>118.12</v>
      </c>
      <c r="D580" s="7">
        <v>311.49</v>
      </c>
      <c r="E580" s="7">
        <v>130.22</v>
      </c>
      <c r="F580" s="7">
        <v>50.17</v>
      </c>
      <c r="G580" s="7">
        <v>297.75</v>
      </c>
      <c r="H580">
        <f t="shared" ref="H580:H643" si="54">LN(B580/B579)</f>
        <v>2.1259013557559715E-3</v>
      </c>
      <c r="I580">
        <f t="shared" ref="I580:I643" si="55">LN(C580/C579)</f>
        <v>-4.6077378511196358E-2</v>
      </c>
      <c r="J580">
        <f t="shared" ref="J580:J643" si="56">LN(D580/D579)</f>
        <v>1.458463609821027E-2</v>
      </c>
      <c r="K580">
        <f t="shared" ref="K580:K643" si="57">LN(E580/E579)</f>
        <v>-1.2279356876772156E-3</v>
      </c>
      <c r="L580">
        <f t="shared" ref="L580:L643" si="58">LN(F580/F579)</f>
        <v>-1.993024421145385E-4</v>
      </c>
      <c r="M580">
        <f t="shared" ref="M580:M643" si="59">LN(G580/G579)</f>
        <v>-8.5610662327413722E-3</v>
      </c>
    </row>
    <row r="581" spans="1:13" x14ac:dyDescent="0.2">
      <c r="A581" s="6">
        <v>45110</v>
      </c>
      <c r="B581" s="7">
        <v>42.27</v>
      </c>
      <c r="C581" s="7">
        <v>116.34</v>
      </c>
      <c r="D581" s="7">
        <v>307.44</v>
      </c>
      <c r="E581" s="7">
        <v>130.36000000000001</v>
      </c>
      <c r="F581" s="7">
        <v>50.26</v>
      </c>
      <c r="G581" s="7">
        <v>297.08999999999997</v>
      </c>
      <c r="H581">
        <f t="shared" si="54"/>
        <v>-2.5989382614544478E-3</v>
      </c>
      <c r="I581">
        <f t="shared" si="55"/>
        <v>-1.5184118393106523E-2</v>
      </c>
      <c r="J581">
        <f t="shared" si="56"/>
        <v>-1.3087288726883839E-2</v>
      </c>
      <c r="K581">
        <f t="shared" si="57"/>
        <v>1.0745261606449627E-3</v>
      </c>
      <c r="L581">
        <f t="shared" si="58"/>
        <v>1.7922936192845144E-3</v>
      </c>
      <c r="M581">
        <f t="shared" si="59"/>
        <v>-2.2190850340885319E-3</v>
      </c>
    </row>
    <row r="582" spans="1:13" x14ac:dyDescent="0.2">
      <c r="A582" s="6">
        <v>45107</v>
      </c>
      <c r="B582" s="7">
        <v>40.79</v>
      </c>
      <c r="C582" s="7">
        <v>115.65</v>
      </c>
      <c r="D582" s="7">
        <v>296.45999999999998</v>
      </c>
      <c r="E582" s="7">
        <v>127.9</v>
      </c>
      <c r="F582" s="7">
        <v>50.2</v>
      </c>
      <c r="G582" s="7">
        <v>297.51</v>
      </c>
      <c r="H582">
        <f t="shared" si="54"/>
        <v>-3.5640661249231605E-2</v>
      </c>
      <c r="I582">
        <f t="shared" si="55"/>
        <v>-5.9485498051672549E-3</v>
      </c>
      <c r="J582">
        <f t="shared" si="56"/>
        <v>-3.6367644170874951E-2</v>
      </c>
      <c r="K582">
        <f t="shared" si="57"/>
        <v>-1.9051145384563831E-2</v>
      </c>
      <c r="L582">
        <f t="shared" si="58"/>
        <v>-1.1945054177625106E-3</v>
      </c>
      <c r="M582">
        <f t="shared" si="59"/>
        <v>1.412714664822379E-3</v>
      </c>
    </row>
    <row r="583" spans="1:13" x14ac:dyDescent="0.2">
      <c r="A583" s="6">
        <v>45106</v>
      </c>
      <c r="B583" s="7">
        <v>41.09</v>
      </c>
      <c r="C583" s="7">
        <v>118.66</v>
      </c>
      <c r="D583" s="7">
        <v>292.3</v>
      </c>
      <c r="E583" s="7">
        <v>129.04</v>
      </c>
      <c r="F583" s="7">
        <v>50.03</v>
      </c>
      <c r="G583" s="7">
        <v>295.72000000000003</v>
      </c>
      <c r="H583">
        <f t="shared" si="54"/>
        <v>7.3278295658514309E-3</v>
      </c>
      <c r="I583">
        <f t="shared" si="55"/>
        <v>2.5693872153048906E-2</v>
      </c>
      <c r="J583">
        <f t="shared" si="56"/>
        <v>-1.4131629968513339E-2</v>
      </c>
      <c r="K583">
        <f t="shared" si="57"/>
        <v>8.8737252321562689E-3</v>
      </c>
      <c r="L583">
        <f t="shared" si="58"/>
        <v>-3.3922011975699015E-3</v>
      </c>
      <c r="M583">
        <f t="shared" si="59"/>
        <v>-6.0347771772439563E-3</v>
      </c>
    </row>
    <row r="584" spans="1:13" x14ac:dyDescent="0.2">
      <c r="A584" s="6">
        <v>45105</v>
      </c>
      <c r="B584" s="7">
        <v>41.85</v>
      </c>
      <c r="C584" s="7">
        <v>119.29</v>
      </c>
      <c r="D584" s="7">
        <v>288.75</v>
      </c>
      <c r="E584" s="7">
        <v>129.18</v>
      </c>
      <c r="F584" s="7">
        <v>50.32</v>
      </c>
      <c r="G584" s="7">
        <v>298.47000000000003</v>
      </c>
      <c r="H584">
        <f t="shared" si="54"/>
        <v>1.8327014040165894E-2</v>
      </c>
      <c r="I584">
        <f t="shared" si="55"/>
        <v>5.2952424633573832E-3</v>
      </c>
      <c r="J584">
        <f t="shared" si="56"/>
        <v>-1.221941028119704E-2</v>
      </c>
      <c r="K584">
        <f t="shared" si="57"/>
        <v>1.0843467873734077E-3</v>
      </c>
      <c r="L584">
        <f t="shared" si="58"/>
        <v>5.7797868920714274E-3</v>
      </c>
      <c r="M584">
        <f t="shared" si="59"/>
        <v>9.2563645804787532E-3</v>
      </c>
    </row>
    <row r="585" spans="1:13" x14ac:dyDescent="0.2">
      <c r="A585" s="6">
        <v>45104</v>
      </c>
      <c r="B585" s="7">
        <v>40.6</v>
      </c>
      <c r="C585" s="7">
        <v>120.92</v>
      </c>
      <c r="D585" s="7">
        <v>290.2</v>
      </c>
      <c r="E585" s="7">
        <v>127.33</v>
      </c>
      <c r="F585" s="7">
        <v>50.19</v>
      </c>
      <c r="G585" s="7">
        <v>294.83999999999997</v>
      </c>
      <c r="H585">
        <f t="shared" si="54"/>
        <v>-3.0323730327797355E-2</v>
      </c>
      <c r="I585">
        <f t="shared" si="55"/>
        <v>1.3571666617402884E-2</v>
      </c>
      <c r="J585">
        <f t="shared" si="56"/>
        <v>5.0090786140840815E-3</v>
      </c>
      <c r="K585">
        <f t="shared" si="57"/>
        <v>-1.4424639018982525E-2</v>
      </c>
      <c r="L585">
        <f t="shared" si="58"/>
        <v>-2.5868087253428642E-3</v>
      </c>
      <c r="M585">
        <f t="shared" si="59"/>
        <v>-1.2236588948290102E-2</v>
      </c>
    </row>
    <row r="586" spans="1:13" x14ac:dyDescent="0.2">
      <c r="A586" s="6">
        <v>45103</v>
      </c>
      <c r="B586" s="7">
        <v>42.18</v>
      </c>
      <c r="C586" s="7">
        <v>119.08</v>
      </c>
      <c r="D586" s="7">
        <v>292.57</v>
      </c>
      <c r="E586" s="7">
        <v>129.33000000000001</v>
      </c>
      <c r="F586" s="7">
        <v>50.27</v>
      </c>
      <c r="G586" s="7">
        <v>291.66000000000003</v>
      </c>
      <c r="H586">
        <f t="shared" si="54"/>
        <v>3.8178108442941609E-2</v>
      </c>
      <c r="I586">
        <f t="shared" si="55"/>
        <v>-1.5333633763681685E-2</v>
      </c>
      <c r="J586">
        <f t="shared" si="56"/>
        <v>8.1336138295766292E-3</v>
      </c>
      <c r="K586">
        <f t="shared" si="57"/>
        <v>1.5585135841808821E-2</v>
      </c>
      <c r="L586">
        <f t="shared" si="58"/>
        <v>1.5926740376416789E-3</v>
      </c>
      <c r="M586">
        <f t="shared" si="59"/>
        <v>-1.0844096035668745E-2</v>
      </c>
    </row>
    <row r="587" spans="1:13" x14ac:dyDescent="0.2">
      <c r="A587" s="6">
        <v>45100</v>
      </c>
      <c r="B587" s="7">
        <v>42.99</v>
      </c>
      <c r="C587" s="7">
        <v>118.88</v>
      </c>
      <c r="D587" s="7">
        <v>284.27</v>
      </c>
      <c r="E587" s="7">
        <v>130.15</v>
      </c>
      <c r="F587" s="7">
        <v>49.82</v>
      </c>
      <c r="G587" s="7">
        <v>284.64</v>
      </c>
      <c r="H587">
        <f t="shared" si="54"/>
        <v>1.9021355457561742E-2</v>
      </c>
      <c r="I587">
        <f t="shared" si="55"/>
        <v>-1.6809551781266133E-3</v>
      </c>
      <c r="J587">
        <f t="shared" si="56"/>
        <v>-2.8779463526144501E-2</v>
      </c>
      <c r="K587">
        <f t="shared" si="57"/>
        <v>6.3203540134213251E-3</v>
      </c>
      <c r="L587">
        <f t="shared" si="58"/>
        <v>-8.9919678704495198E-3</v>
      </c>
      <c r="M587">
        <f t="shared" si="59"/>
        <v>-2.4363516367894199E-2</v>
      </c>
    </row>
    <row r="588" spans="1:13" x14ac:dyDescent="0.2">
      <c r="A588" s="6">
        <v>45099</v>
      </c>
      <c r="B588" s="7">
        <v>43.01</v>
      </c>
      <c r="C588" s="7">
        <v>118.28</v>
      </c>
      <c r="D588" s="7">
        <v>285.22000000000003</v>
      </c>
      <c r="E588" s="7">
        <v>124.83</v>
      </c>
      <c r="F588" s="7">
        <v>50.99</v>
      </c>
      <c r="G588" s="7">
        <v>283.89999999999998</v>
      </c>
      <c r="H588">
        <f t="shared" si="54"/>
        <v>4.6511628745460006E-4</v>
      </c>
      <c r="I588">
        <f t="shared" si="55"/>
        <v>-5.0598859851725677E-3</v>
      </c>
      <c r="J588">
        <f t="shared" si="56"/>
        <v>3.3363215551014173E-3</v>
      </c>
      <c r="K588">
        <f t="shared" si="57"/>
        <v>-4.1734819777614868E-2</v>
      </c>
      <c r="L588">
        <f t="shared" si="58"/>
        <v>2.3213025233030041E-2</v>
      </c>
      <c r="M588">
        <f t="shared" si="59"/>
        <v>-2.603160438599492E-3</v>
      </c>
    </row>
    <row r="589" spans="1:13" x14ac:dyDescent="0.2">
      <c r="A589" s="6">
        <v>45098</v>
      </c>
      <c r="B589" s="7">
        <v>43.78</v>
      </c>
      <c r="C589" s="7">
        <v>119.36</v>
      </c>
      <c r="D589" s="7">
        <v>279.81</v>
      </c>
      <c r="E589" s="7">
        <v>125.78</v>
      </c>
      <c r="F589" s="7">
        <v>51.32</v>
      </c>
      <c r="G589" s="7">
        <v>292.14999999999998</v>
      </c>
      <c r="H589">
        <f t="shared" si="54"/>
        <v>1.7744445299071911E-2</v>
      </c>
      <c r="I589">
        <f t="shared" si="55"/>
        <v>9.0894414711741971E-3</v>
      </c>
      <c r="J589">
        <f t="shared" si="56"/>
        <v>-1.9150010901739217E-2</v>
      </c>
      <c r="K589">
        <f t="shared" si="57"/>
        <v>7.5815374523977531E-3</v>
      </c>
      <c r="L589">
        <f t="shared" si="58"/>
        <v>6.4510046803712036E-3</v>
      </c>
      <c r="M589">
        <f t="shared" si="59"/>
        <v>2.86453055215205E-2</v>
      </c>
    </row>
    <row r="590" spans="1:13" x14ac:dyDescent="0.2">
      <c r="A590" s="6">
        <v>45097</v>
      </c>
      <c r="B590" s="7">
        <v>42.66</v>
      </c>
      <c r="C590" s="7">
        <v>117.52</v>
      </c>
      <c r="D590" s="7">
        <v>283.54000000000002</v>
      </c>
      <c r="E590" s="7">
        <v>125.49</v>
      </c>
      <c r="F590" s="7">
        <v>51.35</v>
      </c>
      <c r="G590" s="7">
        <v>291.42</v>
      </c>
      <c r="H590">
        <f t="shared" si="54"/>
        <v>-2.5915379051512453E-2</v>
      </c>
      <c r="I590">
        <f t="shared" si="55"/>
        <v>-1.5535604589828922E-2</v>
      </c>
      <c r="J590">
        <f t="shared" si="56"/>
        <v>1.3242405282603818E-2</v>
      </c>
      <c r="K590">
        <f t="shared" si="57"/>
        <v>-2.3082749931406196E-3</v>
      </c>
      <c r="L590">
        <f t="shared" si="58"/>
        <v>5.8439662713147798E-4</v>
      </c>
      <c r="M590">
        <f t="shared" si="59"/>
        <v>-2.5018434147374667E-3</v>
      </c>
    </row>
    <row r="591" spans="1:13" x14ac:dyDescent="0.2">
      <c r="A591" s="6">
        <v>45093</v>
      </c>
      <c r="B591" s="7">
        <v>42.62</v>
      </c>
      <c r="C591" s="7">
        <v>117.53</v>
      </c>
      <c r="D591" s="7">
        <v>285.29000000000002</v>
      </c>
      <c r="E591" s="7">
        <v>127.11</v>
      </c>
      <c r="F591" s="7">
        <v>51.01</v>
      </c>
      <c r="G591" s="7">
        <v>292</v>
      </c>
      <c r="H591">
        <f t="shared" si="54"/>
        <v>-9.3808637273335631E-4</v>
      </c>
      <c r="I591">
        <f t="shared" si="55"/>
        <v>8.5088279140911458E-5</v>
      </c>
      <c r="J591">
        <f t="shared" si="56"/>
        <v>6.1530000919799901E-3</v>
      </c>
      <c r="K591">
        <f t="shared" si="57"/>
        <v>1.2826779184360875E-2</v>
      </c>
      <c r="L591">
        <f t="shared" si="58"/>
        <v>-6.6432444397321036E-3</v>
      </c>
      <c r="M591">
        <f t="shared" si="59"/>
        <v>1.9882766825733357E-3</v>
      </c>
    </row>
    <row r="592" spans="1:13" x14ac:dyDescent="0.2">
      <c r="A592" s="6">
        <v>45092</v>
      </c>
      <c r="B592" s="7">
        <v>42.97</v>
      </c>
      <c r="C592" s="7">
        <v>121.5</v>
      </c>
      <c r="D592" s="7">
        <v>276.76</v>
      </c>
      <c r="E592" s="7">
        <v>126.42</v>
      </c>
      <c r="F592" s="7">
        <v>50.07</v>
      </c>
      <c r="G592" s="7">
        <v>289.35000000000002</v>
      </c>
      <c r="H592">
        <f t="shared" si="54"/>
        <v>8.178571116432597E-3</v>
      </c>
      <c r="I592">
        <f t="shared" si="55"/>
        <v>3.3220642635840431E-2</v>
      </c>
      <c r="J592">
        <f t="shared" si="56"/>
        <v>-3.0355502150855269E-2</v>
      </c>
      <c r="K592">
        <f t="shared" si="57"/>
        <v>-5.4431562624248147E-3</v>
      </c>
      <c r="L592">
        <f t="shared" si="58"/>
        <v>-1.8599665592981686E-2</v>
      </c>
      <c r="M592">
        <f t="shared" si="59"/>
        <v>-9.1167742484339134E-3</v>
      </c>
    </row>
    <row r="593" spans="1:13" x14ac:dyDescent="0.2">
      <c r="A593" s="6">
        <v>45091</v>
      </c>
      <c r="B593" s="7">
        <v>40.99</v>
      </c>
      <c r="C593" s="7">
        <v>122.31</v>
      </c>
      <c r="D593" s="7">
        <v>286.95999999999998</v>
      </c>
      <c r="E593" s="7">
        <v>126.66</v>
      </c>
      <c r="F593" s="7">
        <v>50.41</v>
      </c>
      <c r="G593" s="7">
        <v>288.12</v>
      </c>
      <c r="H593">
        <f t="shared" si="54"/>
        <v>-4.7174063270657492E-2</v>
      </c>
      <c r="I593">
        <f t="shared" si="55"/>
        <v>6.6445427186685108E-3</v>
      </c>
      <c r="J593">
        <f t="shared" si="56"/>
        <v>3.619212859341684E-2</v>
      </c>
      <c r="K593">
        <f t="shared" si="57"/>
        <v>1.8966340441315885E-3</v>
      </c>
      <c r="L593">
        <f t="shared" si="58"/>
        <v>6.7675417526859528E-3</v>
      </c>
      <c r="M593">
        <f t="shared" si="59"/>
        <v>-4.2599679986857287E-3</v>
      </c>
    </row>
    <row r="594" spans="1:13" x14ac:dyDescent="0.2">
      <c r="A594" s="6">
        <v>45090</v>
      </c>
      <c r="B594" s="7">
        <v>39.450000000000003</v>
      </c>
      <c r="C594" s="7">
        <v>119.72</v>
      </c>
      <c r="D594" s="7">
        <v>283.13</v>
      </c>
      <c r="E594" s="7">
        <v>126.57</v>
      </c>
      <c r="F594" s="7">
        <v>50.14</v>
      </c>
      <c r="G594" s="7">
        <v>294.91000000000003</v>
      </c>
      <c r="H594">
        <f t="shared" si="54"/>
        <v>-3.8294087224362901E-2</v>
      </c>
      <c r="I594">
        <f t="shared" si="55"/>
        <v>-2.1403122514773533E-2</v>
      </c>
      <c r="J594">
        <f t="shared" si="56"/>
        <v>-1.3436677098515289E-2</v>
      </c>
      <c r="K594">
        <f t="shared" si="57"/>
        <v>-7.108162839272442E-4</v>
      </c>
      <c r="L594">
        <f t="shared" si="58"/>
        <v>-5.3704753643920716E-3</v>
      </c>
      <c r="M594">
        <f t="shared" si="59"/>
        <v>2.3293165025076435E-2</v>
      </c>
    </row>
    <row r="595" spans="1:13" x14ac:dyDescent="0.2">
      <c r="A595" s="6">
        <v>45089</v>
      </c>
      <c r="B595" s="7">
        <v>38.74</v>
      </c>
      <c r="C595" s="7">
        <v>122.26</v>
      </c>
      <c r="D595" s="7">
        <v>279.91000000000003</v>
      </c>
      <c r="E595" s="7">
        <v>123.43</v>
      </c>
      <c r="F595" s="7">
        <v>50.32</v>
      </c>
      <c r="G595" s="7">
        <v>289.41000000000003</v>
      </c>
      <c r="H595">
        <f t="shared" si="54"/>
        <v>-1.8161389313033488E-2</v>
      </c>
      <c r="I595">
        <f t="shared" si="55"/>
        <v>2.0994241616081207E-2</v>
      </c>
      <c r="J595">
        <f t="shared" si="56"/>
        <v>-1.1438033196926212E-2</v>
      </c>
      <c r="K595">
        <f t="shared" si="57"/>
        <v>-2.5121321048519531E-2</v>
      </c>
      <c r="L595">
        <f t="shared" si="58"/>
        <v>3.5835196620378272E-3</v>
      </c>
      <c r="M595">
        <f t="shared" si="59"/>
        <v>-1.8825857195666547E-2</v>
      </c>
    </row>
    <row r="596" spans="1:13" x14ac:dyDescent="0.2">
      <c r="A596" s="6">
        <v>45086</v>
      </c>
      <c r="B596" s="7">
        <v>38.479999999999997</v>
      </c>
      <c r="C596" s="7">
        <v>122.68</v>
      </c>
      <c r="D596" s="7">
        <v>282.58999999999997</v>
      </c>
      <c r="E596" s="7">
        <v>124.25</v>
      </c>
      <c r="F596" s="7">
        <v>50.46</v>
      </c>
      <c r="G596" s="7">
        <v>282.76</v>
      </c>
      <c r="H596">
        <f t="shared" si="54"/>
        <v>-6.7340321813441802E-3</v>
      </c>
      <c r="I596">
        <f t="shared" si="55"/>
        <v>3.4294146454714822E-3</v>
      </c>
      <c r="J596">
        <f t="shared" si="56"/>
        <v>9.5289609915769746E-3</v>
      </c>
      <c r="K596">
        <f t="shared" si="57"/>
        <v>6.6214712209008309E-3</v>
      </c>
      <c r="L596">
        <f t="shared" si="58"/>
        <v>2.7783308207265803E-3</v>
      </c>
      <c r="M596">
        <f t="shared" si="59"/>
        <v>-2.3245886547818711E-2</v>
      </c>
    </row>
    <row r="597" spans="1:13" x14ac:dyDescent="0.2">
      <c r="A597" s="6">
        <v>45084</v>
      </c>
      <c r="B597" s="7">
        <v>37.450000000000003</v>
      </c>
      <c r="C597" s="7">
        <v>124.23</v>
      </c>
      <c r="D597" s="7">
        <v>279.27999999999997</v>
      </c>
      <c r="E597" s="7">
        <v>121.23</v>
      </c>
      <c r="F597" s="7">
        <v>50.55</v>
      </c>
      <c r="G597" s="7">
        <v>283.11</v>
      </c>
      <c r="H597">
        <f t="shared" si="54"/>
        <v>-2.7131915834277095E-2</v>
      </c>
      <c r="I597">
        <f t="shared" si="55"/>
        <v>1.2555346979534698E-2</v>
      </c>
      <c r="J597">
        <f t="shared" si="56"/>
        <v>-1.1782221123382215E-2</v>
      </c>
      <c r="K597">
        <f t="shared" si="57"/>
        <v>-2.4606097218246085E-2</v>
      </c>
      <c r="L597">
        <f t="shared" si="58"/>
        <v>1.7820022535685745E-3</v>
      </c>
      <c r="M597">
        <f t="shared" si="59"/>
        <v>1.2370333985980201E-3</v>
      </c>
    </row>
    <row r="598" spans="1:13" x14ac:dyDescent="0.2">
      <c r="A598" s="6">
        <v>45084</v>
      </c>
      <c r="B598" s="7">
        <v>38.619999999999997</v>
      </c>
      <c r="C598" s="7">
        <v>122.82</v>
      </c>
      <c r="D598" s="7">
        <v>280.10000000000002</v>
      </c>
      <c r="E598" s="7">
        <v>126.61</v>
      </c>
      <c r="F598" s="7">
        <v>50.13</v>
      </c>
      <c r="G598" s="7">
        <v>282.66000000000003</v>
      </c>
      <c r="H598">
        <f t="shared" si="54"/>
        <v>3.0763567037139831E-2</v>
      </c>
      <c r="I598">
        <f t="shared" si="55"/>
        <v>-1.1414817324332539E-2</v>
      </c>
      <c r="J598">
        <f t="shared" si="56"/>
        <v>2.9318194692824449E-3</v>
      </c>
      <c r="K598">
        <f t="shared" si="57"/>
        <v>4.3421927773669863E-2</v>
      </c>
      <c r="L598">
        <f t="shared" si="58"/>
        <v>-8.3433141910683167E-3</v>
      </c>
      <c r="M598">
        <f t="shared" si="59"/>
        <v>-1.5907527613465327E-3</v>
      </c>
    </row>
    <row r="599" spans="1:13" x14ac:dyDescent="0.2">
      <c r="A599" s="6">
        <v>45083</v>
      </c>
      <c r="B599" s="7">
        <v>39.14</v>
      </c>
      <c r="C599" s="7">
        <v>122.98</v>
      </c>
      <c r="D599" s="7">
        <v>271.68</v>
      </c>
      <c r="E599" s="7">
        <v>125.3</v>
      </c>
      <c r="F599" s="7">
        <v>50.03</v>
      </c>
      <c r="G599" s="7">
        <v>283.32</v>
      </c>
      <c r="H599">
        <f t="shared" si="54"/>
        <v>1.3374684967561867E-2</v>
      </c>
      <c r="I599">
        <f t="shared" si="55"/>
        <v>1.3018716240706309E-3</v>
      </c>
      <c r="J599">
        <f t="shared" si="56"/>
        <v>-3.0521779143080408E-2</v>
      </c>
      <c r="K599">
        <f t="shared" si="57"/>
        <v>-1.0400633630139273E-2</v>
      </c>
      <c r="L599">
        <f t="shared" si="58"/>
        <v>-1.9968057752984439E-3</v>
      </c>
      <c r="M599">
        <f t="shared" si="59"/>
        <v>2.33223894541711E-3</v>
      </c>
    </row>
    <row r="600" spans="1:13" x14ac:dyDescent="0.2">
      <c r="A600" s="6">
        <v>45082</v>
      </c>
      <c r="B600" s="7">
        <v>39.29</v>
      </c>
      <c r="C600" s="7">
        <v>122.79</v>
      </c>
      <c r="D600" s="7">
        <v>269.66000000000003</v>
      </c>
      <c r="E600" s="7">
        <v>124.25</v>
      </c>
      <c r="F600" s="7">
        <v>50.48</v>
      </c>
      <c r="G600" s="7">
        <v>282.36</v>
      </c>
      <c r="H600">
        <f t="shared" si="54"/>
        <v>3.8250716024381755E-3</v>
      </c>
      <c r="I600">
        <f t="shared" si="55"/>
        <v>-1.5461613529022943E-3</v>
      </c>
      <c r="J600">
        <f t="shared" si="56"/>
        <v>-7.4629969170539158E-3</v>
      </c>
      <c r="K600">
        <f t="shared" si="57"/>
        <v>-8.4151969252844721E-3</v>
      </c>
      <c r="L600">
        <f t="shared" si="58"/>
        <v>8.9543927328438883E-3</v>
      </c>
      <c r="M600">
        <f t="shared" si="59"/>
        <v>-3.3941483581503163E-3</v>
      </c>
    </row>
    <row r="601" spans="1:13" x14ac:dyDescent="0.2">
      <c r="A601" s="6">
        <v>45079</v>
      </c>
      <c r="B601" s="7">
        <v>39.74</v>
      </c>
      <c r="C601" s="7">
        <v>121.39</v>
      </c>
      <c r="D601" s="7">
        <v>269.39</v>
      </c>
      <c r="E601" s="7">
        <v>122.77</v>
      </c>
      <c r="F601" s="7">
        <v>51.19</v>
      </c>
      <c r="G601" s="7">
        <v>283.89999999999998</v>
      </c>
      <c r="H601">
        <f t="shared" si="54"/>
        <v>1.138820355330241E-2</v>
      </c>
      <c r="I601">
        <f t="shared" si="55"/>
        <v>-1.1467076262709062E-2</v>
      </c>
      <c r="J601">
        <f t="shared" si="56"/>
        <v>-1.0017624434817977E-3</v>
      </c>
      <c r="K601">
        <f t="shared" si="57"/>
        <v>-1.1982978783989597E-2</v>
      </c>
      <c r="L601">
        <f t="shared" si="58"/>
        <v>1.3966982236534208E-2</v>
      </c>
      <c r="M601">
        <f t="shared" si="59"/>
        <v>5.4392109516540514E-3</v>
      </c>
    </row>
    <row r="602" spans="1:13" x14ac:dyDescent="0.2">
      <c r="A602" s="6">
        <v>45078</v>
      </c>
      <c r="B602" s="7">
        <v>37.799999999999997</v>
      </c>
      <c r="C602" s="7">
        <v>121.3</v>
      </c>
      <c r="D602" s="7">
        <v>263.33</v>
      </c>
      <c r="E602" s="7">
        <v>120.58</v>
      </c>
      <c r="F602" s="7">
        <v>50.91</v>
      </c>
      <c r="G602" s="7">
        <v>281.73</v>
      </c>
      <c r="H602">
        <f t="shared" si="54"/>
        <v>-5.0049134498128943E-2</v>
      </c>
      <c r="I602">
        <f t="shared" si="55"/>
        <v>-7.4168695970786545E-4</v>
      </c>
      <c r="J602">
        <f t="shared" si="56"/>
        <v>-2.2752145277453534E-2</v>
      </c>
      <c r="K602">
        <f t="shared" si="57"/>
        <v>-1.7999253131489056E-2</v>
      </c>
      <c r="L602">
        <f t="shared" si="58"/>
        <v>-5.4848325552472313E-3</v>
      </c>
      <c r="M602">
        <f t="shared" si="59"/>
        <v>-7.6728979942934511E-3</v>
      </c>
    </row>
    <row r="603" spans="1:13" x14ac:dyDescent="0.2">
      <c r="A603" s="6">
        <v>45077</v>
      </c>
      <c r="B603" s="7">
        <v>40.08</v>
      </c>
      <c r="C603" s="7">
        <v>121.66</v>
      </c>
      <c r="D603" s="7">
        <v>262.95999999999998</v>
      </c>
      <c r="E603" s="7">
        <v>121.66</v>
      </c>
      <c r="F603" s="7">
        <v>50.4</v>
      </c>
      <c r="G603" s="7">
        <v>282.07</v>
      </c>
      <c r="H603">
        <f t="shared" si="54"/>
        <v>5.8568354151067363E-2</v>
      </c>
      <c r="I603">
        <f t="shared" si="55"/>
        <v>2.9634529425548884E-3</v>
      </c>
      <c r="J603">
        <f t="shared" si="56"/>
        <v>-1.4060691290293966E-3</v>
      </c>
      <c r="K603">
        <f t="shared" si="57"/>
        <v>8.9168358312998117E-3</v>
      </c>
      <c r="L603">
        <f t="shared" si="58"/>
        <v>-1.0068192836921673E-2</v>
      </c>
      <c r="M603">
        <f t="shared" si="59"/>
        <v>1.2061016006240973E-3</v>
      </c>
    </row>
    <row r="604" spans="1:13" x14ac:dyDescent="0.2">
      <c r="A604" s="6">
        <v>45076</v>
      </c>
      <c r="B604" s="7">
        <v>38.909999999999997</v>
      </c>
      <c r="C604" s="7">
        <v>126.44</v>
      </c>
      <c r="D604" s="7">
        <v>261.98</v>
      </c>
      <c r="E604" s="7">
        <v>120.11</v>
      </c>
      <c r="F604" s="7">
        <v>50.02</v>
      </c>
      <c r="G604" s="7">
        <v>282.81</v>
      </c>
      <c r="H604">
        <f t="shared" si="54"/>
        <v>-2.9626169780147177E-2</v>
      </c>
      <c r="I604">
        <f t="shared" si="55"/>
        <v>3.8537618454857647E-2</v>
      </c>
      <c r="J604">
        <f t="shared" si="56"/>
        <v>-3.7337643864609653E-3</v>
      </c>
      <c r="K604">
        <f t="shared" si="57"/>
        <v>-1.2822279326160325E-2</v>
      </c>
      <c r="L604">
        <f t="shared" si="58"/>
        <v>-7.568249627849799E-3</v>
      </c>
      <c r="M604">
        <f t="shared" si="59"/>
        <v>2.6200269909126589E-3</v>
      </c>
    </row>
    <row r="605" spans="1:13" x14ac:dyDescent="0.2">
      <c r="A605" s="6">
        <v>45072</v>
      </c>
      <c r="B605" s="7">
        <v>37.950000000000003</v>
      </c>
      <c r="C605" s="7">
        <v>125.15</v>
      </c>
      <c r="D605" s="7">
        <v>269.45999999999998</v>
      </c>
      <c r="E605" s="7">
        <v>115</v>
      </c>
      <c r="F605" s="7">
        <v>49.69</v>
      </c>
      <c r="G605" s="7">
        <v>279.51</v>
      </c>
      <c r="H605">
        <f t="shared" si="54"/>
        <v>-2.4981783154823096E-2</v>
      </c>
      <c r="I605">
        <f t="shared" si="55"/>
        <v>-1.025486946963367E-2</v>
      </c>
      <c r="J605">
        <f t="shared" si="56"/>
        <v>2.8151791358198595E-2</v>
      </c>
      <c r="K605">
        <f t="shared" si="57"/>
        <v>-4.3475861203148815E-2</v>
      </c>
      <c r="L605">
        <f t="shared" si="58"/>
        <v>-6.6192198352438602E-3</v>
      </c>
      <c r="M605">
        <f t="shared" si="59"/>
        <v>-1.173722394572542E-2</v>
      </c>
    </row>
    <row r="606" spans="1:13" x14ac:dyDescent="0.2">
      <c r="A606" s="6">
        <v>45071</v>
      </c>
      <c r="B606" s="7">
        <v>30.51</v>
      </c>
      <c r="C606" s="7">
        <v>123.82</v>
      </c>
      <c r="D606" s="7">
        <v>269.73</v>
      </c>
      <c r="E606" s="7">
        <v>116.75</v>
      </c>
      <c r="F606" s="7">
        <v>49.39</v>
      </c>
      <c r="G606" s="7">
        <v>283.02</v>
      </c>
      <c r="H606">
        <f t="shared" si="54"/>
        <v>-0.21821500511306063</v>
      </c>
      <c r="I606">
        <f t="shared" si="55"/>
        <v>-1.0684119786697196E-2</v>
      </c>
      <c r="J606">
        <f t="shared" si="56"/>
        <v>1.0015023370896004E-3</v>
      </c>
      <c r="K606">
        <f t="shared" si="57"/>
        <v>1.510276818575665E-2</v>
      </c>
      <c r="L606">
        <f t="shared" si="58"/>
        <v>-6.055731061695698E-3</v>
      </c>
      <c r="M606">
        <f t="shared" si="59"/>
        <v>1.2479496393782007E-2</v>
      </c>
    </row>
    <row r="607" spans="1:13" x14ac:dyDescent="0.2">
      <c r="A607" s="6">
        <v>45070</v>
      </c>
      <c r="B607" s="7">
        <v>30.66</v>
      </c>
      <c r="C607" s="7">
        <v>122.87</v>
      </c>
      <c r="D607" s="7">
        <v>270.94</v>
      </c>
      <c r="E607" s="7">
        <v>114.99</v>
      </c>
      <c r="F607" s="7">
        <v>48.68</v>
      </c>
      <c r="G607" s="7">
        <v>283.60000000000002</v>
      </c>
      <c r="H607">
        <f t="shared" si="54"/>
        <v>4.9043747150896771E-3</v>
      </c>
      <c r="I607">
        <f t="shared" si="55"/>
        <v>-7.7020122116060567E-3</v>
      </c>
      <c r="J607">
        <f t="shared" si="56"/>
        <v>4.475935487799074E-3</v>
      </c>
      <c r="K607">
        <f t="shared" si="57"/>
        <v>-1.5189728488433373E-2</v>
      </c>
      <c r="L607">
        <f t="shared" si="58"/>
        <v>-1.4479706433207062E-2</v>
      </c>
      <c r="M607">
        <f t="shared" si="59"/>
        <v>2.0472281337472926E-3</v>
      </c>
    </row>
    <row r="608" spans="1:13" x14ac:dyDescent="0.2">
      <c r="A608" s="6">
        <v>45069</v>
      </c>
      <c r="B608" s="7">
        <v>31.15</v>
      </c>
      <c r="C608" s="7">
        <v>122.03</v>
      </c>
      <c r="D608" s="7">
        <v>270.94</v>
      </c>
      <c r="E608" s="7">
        <v>115.01</v>
      </c>
      <c r="F608" s="7">
        <v>48.61</v>
      </c>
      <c r="G608" s="7">
        <v>278.24</v>
      </c>
      <c r="H608">
        <f t="shared" si="54"/>
        <v>1.5855371789794001E-2</v>
      </c>
      <c r="I608">
        <f t="shared" si="55"/>
        <v>-6.859969735731798E-3</v>
      </c>
      <c r="J608">
        <f t="shared" si="56"/>
        <v>0</v>
      </c>
      <c r="K608">
        <f t="shared" si="57"/>
        <v>1.7391304391677713E-4</v>
      </c>
      <c r="L608">
        <f t="shared" si="58"/>
        <v>-1.4389970619623329E-3</v>
      </c>
      <c r="M608">
        <f t="shared" si="59"/>
        <v>-1.9080744051999526E-2</v>
      </c>
    </row>
    <row r="609" spans="1:13" x14ac:dyDescent="0.2">
      <c r="A609" s="6">
        <v>45068</v>
      </c>
      <c r="B609" s="7">
        <v>31.24</v>
      </c>
      <c r="C609" s="7">
        <v>122.82</v>
      </c>
      <c r="D609" s="7">
        <v>263.10000000000002</v>
      </c>
      <c r="E609" s="7">
        <v>116.25</v>
      </c>
      <c r="F609" s="7">
        <v>48.62</v>
      </c>
      <c r="G609" s="7">
        <v>275.51</v>
      </c>
      <c r="H609">
        <f t="shared" si="54"/>
        <v>2.8850797380231556E-3</v>
      </c>
      <c r="I609">
        <f t="shared" si="55"/>
        <v>6.4529527575048805E-3</v>
      </c>
      <c r="J609">
        <f t="shared" si="56"/>
        <v>-2.9363206106343138E-2</v>
      </c>
      <c r="K609">
        <f t="shared" si="57"/>
        <v>1.0723963362975642E-2</v>
      </c>
      <c r="L609">
        <f t="shared" si="58"/>
        <v>2.0569783061318952E-4</v>
      </c>
      <c r="M609">
        <f t="shared" si="59"/>
        <v>-9.8601250310938818E-3</v>
      </c>
    </row>
    <row r="610" spans="1:13" x14ac:dyDescent="0.2">
      <c r="A610" s="6">
        <v>45065</v>
      </c>
      <c r="B610" s="7">
        <v>31.65</v>
      </c>
      <c r="C610" s="7">
        <v>123.76</v>
      </c>
      <c r="D610" s="7">
        <v>260.91000000000003</v>
      </c>
      <c r="E610" s="7">
        <v>118.15</v>
      </c>
      <c r="F610" s="7">
        <v>48.3</v>
      </c>
      <c r="G610" s="7">
        <v>278.18</v>
      </c>
      <c r="H610">
        <f t="shared" si="54"/>
        <v>1.303882361869991E-2</v>
      </c>
      <c r="I610">
        <f t="shared" si="55"/>
        <v>7.6243373635575288E-3</v>
      </c>
      <c r="J610">
        <f t="shared" si="56"/>
        <v>-8.3586677764634978E-3</v>
      </c>
      <c r="K610">
        <f t="shared" si="57"/>
        <v>1.6211959165451161E-2</v>
      </c>
      <c r="L610">
        <f t="shared" si="58"/>
        <v>-6.6034082294502651E-3</v>
      </c>
      <c r="M610">
        <f t="shared" si="59"/>
        <v>9.6444606041049749E-3</v>
      </c>
    </row>
    <row r="611" spans="1:13" x14ac:dyDescent="0.2">
      <c r="A611" s="6">
        <v>45064</v>
      </c>
      <c r="B611" s="7">
        <v>30.15</v>
      </c>
      <c r="C611" s="7">
        <v>122.63</v>
      </c>
      <c r="D611" s="7">
        <v>260.43</v>
      </c>
      <c r="E611" s="7">
        <v>115.5</v>
      </c>
      <c r="F611" s="7">
        <v>47.84</v>
      </c>
      <c r="G611" s="7">
        <v>271.08</v>
      </c>
      <c r="H611">
        <f t="shared" si="54"/>
        <v>-4.8553225416990795E-2</v>
      </c>
      <c r="I611">
        <f t="shared" si="55"/>
        <v>-9.1725144908760894E-3</v>
      </c>
      <c r="J611">
        <f t="shared" si="56"/>
        <v>-1.841409197957263E-3</v>
      </c>
      <c r="K611">
        <f t="shared" si="57"/>
        <v>-2.268447367106869E-2</v>
      </c>
      <c r="L611">
        <f t="shared" si="58"/>
        <v>-9.5694510161505597E-3</v>
      </c>
      <c r="M611">
        <f t="shared" si="59"/>
        <v>-2.5854405911071937E-2</v>
      </c>
    </row>
    <row r="612" spans="1:13" x14ac:dyDescent="0.2">
      <c r="A612" s="6">
        <v>45062</v>
      </c>
      <c r="B612" s="7">
        <v>28.93</v>
      </c>
      <c r="C612" s="7">
        <v>121.72</v>
      </c>
      <c r="D612" s="7">
        <v>247.68</v>
      </c>
      <c r="E612" s="7">
        <v>111.2</v>
      </c>
      <c r="F612" s="7">
        <v>47.41</v>
      </c>
      <c r="G612" s="7">
        <v>266.44</v>
      </c>
      <c r="H612">
        <f t="shared" si="54"/>
        <v>-4.1305804185150667E-2</v>
      </c>
      <c r="I612">
        <f t="shared" si="55"/>
        <v>-7.4483667451643596E-3</v>
      </c>
      <c r="J612">
        <f t="shared" si="56"/>
        <v>-5.0196520670464019E-2</v>
      </c>
      <c r="K612">
        <f t="shared" si="57"/>
        <v>-3.7940148145366163E-2</v>
      </c>
      <c r="L612">
        <f t="shared" si="58"/>
        <v>-9.0289327283494814E-3</v>
      </c>
      <c r="M612">
        <f t="shared" si="59"/>
        <v>-1.7264902722933489E-2</v>
      </c>
    </row>
    <row r="613" spans="1:13" x14ac:dyDescent="0.2">
      <c r="A613" s="6">
        <v>45061</v>
      </c>
      <c r="B613" s="7">
        <v>28.32</v>
      </c>
      <c r="C613" s="7">
        <v>124.19</v>
      </c>
      <c r="D613" s="7">
        <v>245.23</v>
      </c>
      <c r="E613" s="7">
        <v>110.26</v>
      </c>
      <c r="F613" s="7">
        <v>47.52</v>
      </c>
      <c r="G613" s="7">
        <v>272.89</v>
      </c>
      <c r="H613">
        <f t="shared" si="54"/>
        <v>-2.1310850162524715E-2</v>
      </c>
      <c r="I613">
        <f t="shared" si="55"/>
        <v>2.0089325931170864E-2</v>
      </c>
      <c r="J613">
        <f t="shared" si="56"/>
        <v>-9.9410447205738346E-3</v>
      </c>
      <c r="K613">
        <f t="shared" si="57"/>
        <v>-8.4891686549443991E-3</v>
      </c>
      <c r="L613">
        <f t="shared" si="58"/>
        <v>2.317498140362704E-3</v>
      </c>
      <c r="M613">
        <f t="shared" si="59"/>
        <v>2.3919706038783517E-2</v>
      </c>
    </row>
    <row r="614" spans="1:13" x14ac:dyDescent="0.2">
      <c r="A614" s="6">
        <v>45058</v>
      </c>
      <c r="B614" s="7">
        <v>28.55</v>
      </c>
      <c r="C614" s="7">
        <v>121.92</v>
      </c>
      <c r="D614" s="7">
        <v>246.8</v>
      </c>
      <c r="E614" s="7">
        <v>112.18</v>
      </c>
      <c r="F614" s="7">
        <v>47.44</v>
      </c>
      <c r="G614" s="7">
        <v>273.29000000000002</v>
      </c>
      <c r="H614">
        <f t="shared" si="54"/>
        <v>8.0886672765001725E-3</v>
      </c>
      <c r="I614">
        <f t="shared" si="55"/>
        <v>-1.8447559021605057E-2</v>
      </c>
      <c r="J614">
        <f t="shared" si="56"/>
        <v>6.3817463504443001E-3</v>
      </c>
      <c r="K614">
        <f t="shared" si="57"/>
        <v>1.7263510918653416E-2</v>
      </c>
      <c r="L614">
        <f t="shared" si="58"/>
        <v>-1.6849203649196343E-3</v>
      </c>
      <c r="M614">
        <f t="shared" si="59"/>
        <v>1.4647188528082631E-3</v>
      </c>
    </row>
    <row r="615" spans="1:13" x14ac:dyDescent="0.2">
      <c r="A615" s="6">
        <v>45057</v>
      </c>
      <c r="B615" s="7">
        <v>28.86</v>
      </c>
      <c r="C615" s="7">
        <v>121.99</v>
      </c>
      <c r="D615" s="7">
        <v>244.13</v>
      </c>
      <c r="E615" s="7">
        <v>110.19</v>
      </c>
      <c r="F615" s="7">
        <v>47.92</v>
      </c>
      <c r="G615" s="7">
        <v>267.62</v>
      </c>
      <c r="H615">
        <f t="shared" si="54"/>
        <v>1.0799617243705572E-2</v>
      </c>
      <c r="I615">
        <f t="shared" si="55"/>
        <v>5.7398222230993696E-4</v>
      </c>
      <c r="J615">
        <f t="shared" si="56"/>
        <v>-1.0877421733325062E-2</v>
      </c>
      <c r="K615">
        <f t="shared" si="57"/>
        <v>-1.7898575580505345E-2</v>
      </c>
      <c r="L615">
        <f t="shared" si="58"/>
        <v>1.0067199117723941E-2</v>
      </c>
      <c r="M615">
        <f t="shared" si="59"/>
        <v>-2.0965438559727701E-2</v>
      </c>
    </row>
    <row r="616" spans="1:13" x14ac:dyDescent="0.2">
      <c r="A616" s="6">
        <v>45056</v>
      </c>
      <c r="B616" s="7">
        <v>28.55</v>
      </c>
      <c r="C616" s="7">
        <v>120.01</v>
      </c>
      <c r="D616" s="7">
        <v>245.34</v>
      </c>
      <c r="E616" s="7">
        <v>106.62</v>
      </c>
      <c r="F616" s="7">
        <v>48.14</v>
      </c>
      <c r="G616" s="7">
        <v>271.68</v>
      </c>
      <c r="H616">
        <f t="shared" si="54"/>
        <v>-1.07996172437056E-2</v>
      </c>
      <c r="I616">
        <f t="shared" si="55"/>
        <v>-1.6364001517296084E-2</v>
      </c>
      <c r="J616">
        <f t="shared" si="56"/>
        <v>4.9441333066982561E-3</v>
      </c>
      <c r="K616">
        <f t="shared" si="57"/>
        <v>-3.2935037105070571E-2</v>
      </c>
      <c r="L616">
        <f t="shared" si="58"/>
        <v>4.5804785477318545E-3</v>
      </c>
      <c r="M616">
        <f t="shared" si="59"/>
        <v>1.5056839246139672E-2</v>
      </c>
    </row>
    <row r="617" spans="1:13" x14ac:dyDescent="0.2">
      <c r="A617" s="6">
        <v>45055</v>
      </c>
      <c r="B617" s="7">
        <v>29.13</v>
      </c>
      <c r="C617" s="7">
        <v>118.69</v>
      </c>
      <c r="D617" s="7">
        <v>241</v>
      </c>
      <c r="E617" s="7">
        <v>105.83</v>
      </c>
      <c r="F617" s="7">
        <v>48.23</v>
      </c>
      <c r="G617" s="7">
        <v>275.26</v>
      </c>
      <c r="H617">
        <f t="shared" si="54"/>
        <v>2.0111634869323991E-2</v>
      </c>
      <c r="I617">
        <f t="shared" si="55"/>
        <v>-1.1060020574936196E-2</v>
      </c>
      <c r="J617">
        <f t="shared" si="56"/>
        <v>-1.7848070113950964E-2</v>
      </c>
      <c r="K617">
        <f t="shared" si="57"/>
        <v>-7.437078288981918E-3</v>
      </c>
      <c r="L617">
        <f t="shared" si="58"/>
        <v>1.8678017259545162E-3</v>
      </c>
      <c r="M617">
        <f t="shared" si="59"/>
        <v>1.3091202428403842E-2</v>
      </c>
    </row>
    <row r="618" spans="1:13" x14ac:dyDescent="0.2">
      <c r="A618" s="6">
        <v>45054</v>
      </c>
      <c r="B618" s="7">
        <v>28.66</v>
      </c>
      <c r="C618" s="7">
        <v>115.71</v>
      </c>
      <c r="D618" s="7">
        <v>237.36</v>
      </c>
      <c r="E618" s="7">
        <v>105.66</v>
      </c>
      <c r="F618" s="7">
        <v>48.66</v>
      </c>
      <c r="G618" s="7">
        <v>271.27</v>
      </c>
      <c r="H618">
        <f t="shared" si="54"/>
        <v>-1.6266148571317418E-2</v>
      </c>
      <c r="I618">
        <f t="shared" si="55"/>
        <v>-2.5427991180167787E-2</v>
      </c>
      <c r="J618">
        <f t="shared" si="56"/>
        <v>-1.521895750808853E-2</v>
      </c>
      <c r="K618">
        <f t="shared" si="57"/>
        <v>-1.6076413694633802E-3</v>
      </c>
      <c r="L618">
        <f t="shared" si="58"/>
        <v>8.8761032744960576E-3</v>
      </c>
      <c r="M618">
        <f t="shared" si="59"/>
        <v>-1.4601470695946498E-2</v>
      </c>
    </row>
    <row r="619" spans="1:13" x14ac:dyDescent="0.2">
      <c r="A619" s="6">
        <v>45051</v>
      </c>
      <c r="B619" s="7">
        <v>27.54</v>
      </c>
      <c r="C619" s="7">
        <v>116.71</v>
      </c>
      <c r="D619" s="7">
        <v>237.4</v>
      </c>
      <c r="E619" s="7">
        <v>104</v>
      </c>
      <c r="F619" s="7">
        <v>49.16</v>
      </c>
      <c r="G619" s="7">
        <v>271.47000000000003</v>
      </c>
      <c r="H619">
        <f t="shared" si="54"/>
        <v>-3.9862929099517073E-2</v>
      </c>
      <c r="I619">
        <f t="shared" si="55"/>
        <v>8.6051645360161032E-3</v>
      </c>
      <c r="J619">
        <f t="shared" si="56"/>
        <v>1.6850619300136447E-4</v>
      </c>
      <c r="K619">
        <f t="shared" si="57"/>
        <v>-1.5835492594797083E-2</v>
      </c>
      <c r="L619">
        <f t="shared" si="58"/>
        <v>1.0222947342457453E-2</v>
      </c>
      <c r="M619">
        <f t="shared" si="59"/>
        <v>7.37001175711736E-4</v>
      </c>
    </row>
    <row r="620" spans="1:13" x14ac:dyDescent="0.2">
      <c r="A620" s="6">
        <v>45050</v>
      </c>
      <c r="B620" s="7">
        <v>27.78</v>
      </c>
      <c r="C620" s="7">
        <v>115.77</v>
      </c>
      <c r="D620" s="7">
        <v>232.38</v>
      </c>
      <c r="E620" s="7">
        <v>103.65</v>
      </c>
      <c r="F620" s="7">
        <v>48.53</v>
      </c>
      <c r="G620" s="7">
        <v>275.47000000000003</v>
      </c>
      <c r="H620">
        <f t="shared" si="54"/>
        <v>8.6768440256890355E-3</v>
      </c>
      <c r="I620">
        <f t="shared" si="55"/>
        <v>-8.0867612066252582E-3</v>
      </c>
      <c r="J620">
        <f t="shared" si="56"/>
        <v>-2.1372519420851901E-2</v>
      </c>
      <c r="K620">
        <f t="shared" si="57"/>
        <v>-3.3710602595840578E-3</v>
      </c>
      <c r="L620">
        <f t="shared" si="58"/>
        <v>-1.2898121280709144E-2</v>
      </c>
      <c r="M620">
        <f t="shared" si="59"/>
        <v>1.462709371059295E-2</v>
      </c>
    </row>
    <row r="621" spans="1:13" x14ac:dyDescent="0.2">
      <c r="A621" s="6">
        <v>45049</v>
      </c>
      <c r="B621" s="7">
        <v>28.19</v>
      </c>
      <c r="C621" s="7">
        <v>110.98</v>
      </c>
      <c r="D621" s="7">
        <v>234.35</v>
      </c>
      <c r="E621" s="7">
        <v>103.63</v>
      </c>
      <c r="F621" s="7">
        <v>48.61</v>
      </c>
      <c r="G621" s="7">
        <v>272.88</v>
      </c>
      <c r="H621">
        <f t="shared" si="54"/>
        <v>1.4650967799823578E-2</v>
      </c>
      <c r="I621">
        <f t="shared" si="55"/>
        <v>-4.2255459319881769E-2</v>
      </c>
      <c r="J621">
        <f t="shared" si="56"/>
        <v>8.4417616139993122E-3</v>
      </c>
      <c r="K621">
        <f t="shared" si="57"/>
        <v>-1.9297568566265322E-4</v>
      </c>
      <c r="L621">
        <f t="shared" si="58"/>
        <v>1.6471076402392545E-3</v>
      </c>
      <c r="M621">
        <f t="shared" si="59"/>
        <v>-9.4465916313542387E-3</v>
      </c>
    </row>
    <row r="622" spans="1:13" x14ac:dyDescent="0.2">
      <c r="A622" s="6">
        <v>45048</v>
      </c>
      <c r="B622" s="7">
        <v>28.89</v>
      </c>
      <c r="C622" s="7">
        <v>106.61</v>
      </c>
      <c r="D622" s="7">
        <v>231.65</v>
      </c>
      <c r="E622" s="7">
        <v>102.05</v>
      </c>
      <c r="F622" s="7">
        <v>49.29</v>
      </c>
      <c r="G622" s="7">
        <v>263.49</v>
      </c>
      <c r="H622">
        <f t="shared" si="54"/>
        <v>2.4528209352122705E-2</v>
      </c>
      <c r="I622">
        <f t="shared" si="55"/>
        <v>-4.0172688935371494E-2</v>
      </c>
      <c r="J622">
        <f t="shared" si="56"/>
        <v>-1.1588112506057749E-2</v>
      </c>
      <c r="K622">
        <f t="shared" si="57"/>
        <v>-1.5363973940272181E-2</v>
      </c>
      <c r="L622">
        <f t="shared" si="58"/>
        <v>1.3891949659922374E-2</v>
      </c>
      <c r="M622">
        <f t="shared" si="59"/>
        <v>-3.5016721513254516E-2</v>
      </c>
    </row>
    <row r="623" spans="1:13" x14ac:dyDescent="0.2">
      <c r="A623" s="6">
        <v>45047</v>
      </c>
      <c r="B623" s="7">
        <v>27.73</v>
      </c>
      <c r="C623" s="7">
        <v>107.03</v>
      </c>
      <c r="D623" s="7">
        <v>231.94</v>
      </c>
      <c r="E623" s="7">
        <v>105.45</v>
      </c>
      <c r="F623" s="7">
        <v>49.68</v>
      </c>
      <c r="G623" s="7">
        <v>269.29000000000002</v>
      </c>
      <c r="H623">
        <f t="shared" si="54"/>
        <v>-4.0980654850457265E-2</v>
      </c>
      <c r="I623">
        <f t="shared" si="55"/>
        <v>3.9318530339004188E-3</v>
      </c>
      <c r="J623">
        <f t="shared" si="56"/>
        <v>1.2511056658998322E-3</v>
      </c>
      <c r="K623">
        <f t="shared" si="57"/>
        <v>3.2774017668929914E-2</v>
      </c>
      <c r="L623">
        <f t="shared" si="58"/>
        <v>7.8812169079368766E-3</v>
      </c>
      <c r="M623">
        <f t="shared" si="59"/>
        <v>2.177344922238128E-2</v>
      </c>
    </row>
    <row r="624" spans="1:13" x14ac:dyDescent="0.2">
      <c r="A624" s="6">
        <v>45044</v>
      </c>
      <c r="B624" s="7">
        <v>27.2</v>
      </c>
      <c r="C624" s="7">
        <v>104.85</v>
      </c>
      <c r="D624" s="7">
        <v>231.84</v>
      </c>
      <c r="E624" s="7">
        <v>109.82</v>
      </c>
      <c r="F624" s="7">
        <v>49.7</v>
      </c>
      <c r="G624" s="7">
        <v>271.08999999999997</v>
      </c>
      <c r="H624">
        <f t="shared" si="54"/>
        <v>-1.9297886325735085E-2</v>
      </c>
      <c r="I624">
        <f t="shared" si="55"/>
        <v>-2.0578411648355336E-2</v>
      </c>
      <c r="J624">
        <f t="shared" si="56"/>
        <v>-4.3123895618495784E-4</v>
      </c>
      <c r="K624">
        <f t="shared" si="57"/>
        <v>4.0605754925942768E-2</v>
      </c>
      <c r="L624">
        <f t="shared" si="58"/>
        <v>4.0249547735971897E-4</v>
      </c>
      <c r="M624">
        <f t="shared" si="59"/>
        <v>6.6620032471154276E-3</v>
      </c>
    </row>
    <row r="625" spans="1:13" x14ac:dyDescent="0.2">
      <c r="A625" s="6">
        <v>45043</v>
      </c>
      <c r="B625" s="7">
        <v>26.93</v>
      </c>
      <c r="C625" s="7">
        <v>103.97</v>
      </c>
      <c r="D625" s="7">
        <v>231.35</v>
      </c>
      <c r="E625" s="7">
        <v>104.98</v>
      </c>
      <c r="F625" s="7">
        <v>49.51</v>
      </c>
      <c r="G625" s="7">
        <v>268.49</v>
      </c>
      <c r="H625">
        <f t="shared" si="54"/>
        <v>-9.9760664784440574E-3</v>
      </c>
      <c r="I625">
        <f t="shared" si="55"/>
        <v>-8.4283613580500259E-3</v>
      </c>
      <c r="J625">
        <f t="shared" si="56"/>
        <v>-2.1157632193637157E-3</v>
      </c>
      <c r="K625">
        <f t="shared" si="57"/>
        <v>-4.5072806026572709E-2</v>
      </c>
      <c r="L625">
        <f t="shared" si="58"/>
        <v>-3.8302637292514162E-3</v>
      </c>
      <c r="M625">
        <f t="shared" si="59"/>
        <v>-9.6371997591446872E-3</v>
      </c>
    </row>
    <row r="626" spans="1:13" x14ac:dyDescent="0.2">
      <c r="A626" s="6">
        <v>45042</v>
      </c>
      <c r="B626" s="7">
        <v>26.22</v>
      </c>
      <c r="C626" s="7">
        <v>104.69</v>
      </c>
      <c r="D626" s="7">
        <v>232.09</v>
      </c>
      <c r="E626" s="7">
        <v>102.57</v>
      </c>
      <c r="F626" s="7">
        <v>49.65</v>
      </c>
      <c r="G626" s="7">
        <v>269.74</v>
      </c>
      <c r="H626">
        <f t="shared" si="54"/>
        <v>-2.6718428487953767E-2</v>
      </c>
      <c r="I626">
        <f t="shared" si="55"/>
        <v>6.9012063413848232E-3</v>
      </c>
      <c r="J626">
        <f t="shared" si="56"/>
        <v>3.1935121219946439E-3</v>
      </c>
      <c r="K626">
        <f t="shared" si="57"/>
        <v>-2.3224363504834165E-2</v>
      </c>
      <c r="L626">
        <f t="shared" si="58"/>
        <v>2.8237211178498366E-3</v>
      </c>
      <c r="M626">
        <f t="shared" si="59"/>
        <v>4.6448627812236765E-3</v>
      </c>
    </row>
    <row r="627" spans="1:13" x14ac:dyDescent="0.2">
      <c r="A627" s="6">
        <v>45041</v>
      </c>
      <c r="B627" s="7">
        <v>27.02</v>
      </c>
      <c r="C627" s="7">
        <v>104.6</v>
      </c>
      <c r="D627" s="7">
        <v>235.58</v>
      </c>
      <c r="E627" s="7">
        <v>106.21</v>
      </c>
      <c r="F627" s="7">
        <v>49.57</v>
      </c>
      <c r="G627" s="7">
        <v>271.19</v>
      </c>
      <c r="H627">
        <f t="shared" si="54"/>
        <v>3.0054854196499135E-2</v>
      </c>
      <c r="I627">
        <f t="shared" si="55"/>
        <v>-8.6005070044109836E-4</v>
      </c>
      <c r="J627">
        <f t="shared" si="56"/>
        <v>1.492533105563529E-2</v>
      </c>
      <c r="K627">
        <f t="shared" si="57"/>
        <v>3.4872774014128645E-2</v>
      </c>
      <c r="L627">
        <f t="shared" si="58"/>
        <v>-1.612578458699055E-3</v>
      </c>
      <c r="M627">
        <f t="shared" si="59"/>
        <v>5.3611501413552299E-3</v>
      </c>
    </row>
    <row r="628" spans="1:13" x14ac:dyDescent="0.2">
      <c r="A628" s="6">
        <v>45040</v>
      </c>
      <c r="B628" s="7">
        <v>27.1</v>
      </c>
      <c r="C628" s="7">
        <v>106.47</v>
      </c>
      <c r="D628" s="7">
        <v>237.77</v>
      </c>
      <c r="E628" s="7">
        <v>106.96</v>
      </c>
      <c r="F628" s="7">
        <v>49.26</v>
      </c>
      <c r="G628" s="7">
        <v>268.72000000000003</v>
      </c>
      <c r="H628">
        <f t="shared" si="54"/>
        <v>2.9563953536025232E-3</v>
      </c>
      <c r="I628">
        <f t="shared" si="55"/>
        <v>1.7719703695692285E-2</v>
      </c>
      <c r="J628">
        <f t="shared" si="56"/>
        <v>9.253261333672564E-3</v>
      </c>
      <c r="K628">
        <f t="shared" si="57"/>
        <v>7.036666460239596E-3</v>
      </c>
      <c r="L628">
        <f t="shared" si="58"/>
        <v>-6.2734193400907148E-3</v>
      </c>
      <c r="M628">
        <f t="shared" si="59"/>
        <v>-9.1497369260293941E-3</v>
      </c>
    </row>
    <row r="629" spans="1:13" x14ac:dyDescent="0.2">
      <c r="A629" s="6">
        <v>45036</v>
      </c>
      <c r="B629" s="7">
        <v>27.91</v>
      </c>
      <c r="C629" s="7">
        <v>106.85</v>
      </c>
      <c r="D629" s="7">
        <v>238.85</v>
      </c>
      <c r="E629" s="7">
        <v>104.3</v>
      </c>
      <c r="F629" s="7">
        <v>48.84</v>
      </c>
      <c r="G629" s="7">
        <v>266.68</v>
      </c>
      <c r="H629">
        <f t="shared" si="54"/>
        <v>2.9451319662575515E-2</v>
      </c>
      <c r="I629">
        <f t="shared" si="55"/>
        <v>3.5627264386417366E-3</v>
      </c>
      <c r="J629">
        <f t="shared" si="56"/>
        <v>4.5319199716597367E-3</v>
      </c>
      <c r="K629">
        <f t="shared" si="57"/>
        <v>-2.5183570786960905E-2</v>
      </c>
      <c r="L629">
        <f t="shared" si="58"/>
        <v>-8.5627434498878018E-3</v>
      </c>
      <c r="M629">
        <f t="shared" si="59"/>
        <v>-7.6205075541781039E-3</v>
      </c>
    </row>
    <row r="630" spans="1:13" x14ac:dyDescent="0.2">
      <c r="A630" s="6">
        <v>45035</v>
      </c>
      <c r="B630" s="7">
        <v>27.64</v>
      </c>
      <c r="C630" s="7">
        <v>103</v>
      </c>
      <c r="D630" s="7">
        <v>237.1</v>
      </c>
      <c r="E630" s="7">
        <v>102.3</v>
      </c>
      <c r="F630" s="7">
        <v>48.7</v>
      </c>
      <c r="G630" s="7">
        <v>273.52</v>
      </c>
      <c r="H630">
        <f t="shared" si="54"/>
        <v>-9.721048648761681E-3</v>
      </c>
      <c r="I630">
        <f t="shared" si="55"/>
        <v>-3.6696993535520792E-2</v>
      </c>
      <c r="J630">
        <f t="shared" si="56"/>
        <v>-7.353746764611104E-3</v>
      </c>
      <c r="K630">
        <f t="shared" si="57"/>
        <v>-1.9361689049145921E-2</v>
      </c>
      <c r="L630">
        <f t="shared" si="58"/>
        <v>-2.8706191539598757E-3</v>
      </c>
      <c r="M630">
        <f t="shared" si="59"/>
        <v>2.5325307581186576E-2</v>
      </c>
    </row>
    <row r="631" spans="1:13" x14ac:dyDescent="0.2">
      <c r="A631" s="6">
        <v>45034</v>
      </c>
      <c r="B631" s="7">
        <v>26.98</v>
      </c>
      <c r="C631" s="7">
        <v>103.14</v>
      </c>
      <c r="D631" s="7">
        <v>208.12</v>
      </c>
      <c r="E631" s="7">
        <v>102.74</v>
      </c>
      <c r="F631" s="7">
        <v>48.88</v>
      </c>
      <c r="G631" s="7">
        <v>274.64</v>
      </c>
      <c r="H631">
        <f t="shared" si="54"/>
        <v>-2.4168148119859279E-2</v>
      </c>
      <c r="I631">
        <f t="shared" si="55"/>
        <v>1.3583003931771792E-3</v>
      </c>
      <c r="J631">
        <f t="shared" si="56"/>
        <v>-0.13036715664925702</v>
      </c>
      <c r="K631">
        <f t="shared" si="57"/>
        <v>4.2918520815410843E-3</v>
      </c>
      <c r="L631">
        <f t="shared" si="58"/>
        <v>3.6892847747958643E-3</v>
      </c>
      <c r="M631">
        <f t="shared" si="59"/>
        <v>4.0864038183907525E-3</v>
      </c>
    </row>
    <row r="632" spans="1:13" x14ac:dyDescent="0.2">
      <c r="A632" s="6">
        <v>45033</v>
      </c>
      <c r="B632" s="7">
        <v>26.74</v>
      </c>
      <c r="C632" s="7">
        <v>105.24</v>
      </c>
      <c r="D632" s="7">
        <v>206.28</v>
      </c>
      <c r="E632" s="7">
        <v>102.51</v>
      </c>
      <c r="F632" s="7">
        <v>49.01</v>
      </c>
      <c r="G632" s="7">
        <v>277.83999999999997</v>
      </c>
      <c r="H632">
        <f t="shared" si="54"/>
        <v>-8.9352791058127969E-3</v>
      </c>
      <c r="I632">
        <f t="shared" si="55"/>
        <v>2.0156167549279121E-2</v>
      </c>
      <c r="J632">
        <f t="shared" si="56"/>
        <v>-8.8803672393445738E-3</v>
      </c>
      <c r="K632">
        <f t="shared" si="57"/>
        <v>-2.241170243811538E-3</v>
      </c>
      <c r="L632">
        <f t="shared" si="58"/>
        <v>2.6560440581162104E-3</v>
      </c>
      <c r="M632">
        <f t="shared" si="59"/>
        <v>1.1584259286381831E-2</v>
      </c>
    </row>
    <row r="633" spans="1:13" x14ac:dyDescent="0.2">
      <c r="A633" s="6">
        <v>45030</v>
      </c>
      <c r="B633" s="7">
        <v>26.44</v>
      </c>
      <c r="C633" s="7">
        <v>104.69</v>
      </c>
      <c r="D633" s="7">
        <v>211.49</v>
      </c>
      <c r="E633" s="7">
        <v>102.4</v>
      </c>
      <c r="F633" s="7">
        <v>48.81</v>
      </c>
      <c r="G633" s="7">
        <v>280.49</v>
      </c>
      <c r="H633">
        <f t="shared" si="54"/>
        <v>-1.1282556690311458E-2</v>
      </c>
      <c r="I633">
        <f t="shared" si="55"/>
        <v>-5.2398538408284191E-3</v>
      </c>
      <c r="J633">
        <f t="shared" si="56"/>
        <v>2.4943246861900366E-2</v>
      </c>
      <c r="K633">
        <f t="shared" si="57"/>
        <v>-1.0736421899027789E-3</v>
      </c>
      <c r="L633">
        <f t="shared" si="58"/>
        <v>-4.0891490223999034E-3</v>
      </c>
      <c r="M633">
        <f t="shared" si="59"/>
        <v>9.4926652675479603E-3</v>
      </c>
    </row>
    <row r="634" spans="1:13" x14ac:dyDescent="0.2">
      <c r="A634" s="6">
        <v>45029</v>
      </c>
      <c r="B634" s="7">
        <v>26.47</v>
      </c>
      <c r="C634" s="7">
        <v>104.57</v>
      </c>
      <c r="D634" s="7">
        <v>211.59</v>
      </c>
      <c r="E634" s="7">
        <v>97.83</v>
      </c>
      <c r="F634" s="7">
        <v>48.95</v>
      </c>
      <c r="G634" s="7">
        <v>274.32</v>
      </c>
      <c r="H634">
        <f t="shared" si="54"/>
        <v>1.134001255524375E-3</v>
      </c>
      <c r="I634">
        <f t="shared" si="55"/>
        <v>-1.1468987207662136E-3</v>
      </c>
      <c r="J634">
        <f t="shared" si="56"/>
        <v>4.7272384353897942E-4</v>
      </c>
      <c r="K634">
        <f t="shared" si="57"/>
        <v>-4.5655434136069997E-2</v>
      </c>
      <c r="L634">
        <f t="shared" si="58"/>
        <v>2.8641590774632513E-3</v>
      </c>
      <c r="M634">
        <f t="shared" si="59"/>
        <v>-2.2242765548701637E-2</v>
      </c>
    </row>
    <row r="635" spans="1:13" x14ac:dyDescent="0.2">
      <c r="A635" s="6">
        <v>45028</v>
      </c>
      <c r="B635" s="7">
        <v>27.15</v>
      </c>
      <c r="C635" s="7">
        <v>103.47</v>
      </c>
      <c r="D635" s="7">
        <v>211.76</v>
      </c>
      <c r="E635" s="7">
        <v>99.92</v>
      </c>
      <c r="F635" s="7">
        <v>48.79</v>
      </c>
      <c r="G635" s="7">
        <v>268.85000000000002</v>
      </c>
      <c r="H635">
        <f t="shared" si="54"/>
        <v>2.5365030140934608E-2</v>
      </c>
      <c r="I635">
        <f t="shared" si="55"/>
        <v>-1.0574987993638081E-2</v>
      </c>
      <c r="J635">
        <f t="shared" si="56"/>
        <v>8.0311803064832255E-4</v>
      </c>
      <c r="K635">
        <f t="shared" si="57"/>
        <v>2.113858734798478E-2</v>
      </c>
      <c r="L635">
        <f t="shared" si="58"/>
        <v>-3.2739951487736952E-3</v>
      </c>
      <c r="M635">
        <f t="shared" si="59"/>
        <v>-2.0141704898977684E-2</v>
      </c>
    </row>
    <row r="636" spans="1:13" x14ac:dyDescent="0.2">
      <c r="A636" s="6">
        <v>45027</v>
      </c>
      <c r="B636" s="7">
        <v>27.56</v>
      </c>
      <c r="C636" s="7">
        <v>103.78</v>
      </c>
      <c r="D636" s="7">
        <v>214.38</v>
      </c>
      <c r="E636" s="7">
        <v>102.17</v>
      </c>
      <c r="F636" s="7">
        <v>49.01</v>
      </c>
      <c r="G636" s="7">
        <v>276.56</v>
      </c>
      <c r="H636">
        <f t="shared" si="54"/>
        <v>1.4988399765513491E-2</v>
      </c>
      <c r="I636">
        <f t="shared" si="55"/>
        <v>2.9915583227342725E-3</v>
      </c>
      <c r="J636">
        <f t="shared" si="56"/>
        <v>1.2296583344527611E-2</v>
      </c>
      <c r="K636">
        <f t="shared" si="57"/>
        <v>2.2268226786009954E-2</v>
      </c>
      <c r="L636">
        <f t="shared" si="58"/>
        <v>4.4989850937103646E-3</v>
      </c>
      <c r="M636">
        <f t="shared" si="59"/>
        <v>2.8274192357681995E-2</v>
      </c>
    </row>
    <row r="637" spans="1:13" x14ac:dyDescent="0.2">
      <c r="A637" s="6">
        <v>45026</v>
      </c>
      <c r="B637" s="7">
        <v>27.01</v>
      </c>
      <c r="C637" s="7">
        <v>105.24</v>
      </c>
      <c r="D637" s="7">
        <v>216.55</v>
      </c>
      <c r="E637" s="7">
        <v>102.06</v>
      </c>
      <c r="F637" s="7">
        <v>49.39</v>
      </c>
      <c r="G637" s="7">
        <v>281.51</v>
      </c>
      <c r="H637">
        <f t="shared" si="54"/>
        <v>-2.015827834093353E-2</v>
      </c>
      <c r="I637">
        <f t="shared" si="55"/>
        <v>1.3970182232498305E-2</v>
      </c>
      <c r="J637">
        <f t="shared" si="56"/>
        <v>1.0071326397262362E-2</v>
      </c>
      <c r="K637">
        <f t="shared" si="57"/>
        <v>-1.0772169675069415E-3</v>
      </c>
      <c r="L637">
        <f t="shared" si="58"/>
        <v>7.7236156310773922E-3</v>
      </c>
      <c r="M637">
        <f t="shared" si="59"/>
        <v>1.7740175314100062E-2</v>
      </c>
    </row>
    <row r="638" spans="1:13" x14ac:dyDescent="0.2">
      <c r="A638" s="6">
        <v>45022</v>
      </c>
      <c r="B638" s="7">
        <v>26.86</v>
      </c>
      <c r="C638" s="7">
        <v>108.12</v>
      </c>
      <c r="D638" s="7">
        <v>217.52</v>
      </c>
      <c r="E638" s="7">
        <v>101.1</v>
      </c>
      <c r="F638" s="7">
        <v>49.06</v>
      </c>
      <c r="G638" s="7">
        <v>280.02</v>
      </c>
      <c r="H638">
        <f t="shared" si="54"/>
        <v>-5.5689767094328118E-3</v>
      </c>
      <c r="I638">
        <f t="shared" si="55"/>
        <v>2.6998265236154902E-2</v>
      </c>
      <c r="J638">
        <f t="shared" si="56"/>
        <v>4.4693326635796811E-3</v>
      </c>
      <c r="K638">
        <f t="shared" si="57"/>
        <v>-9.4507496093997004E-3</v>
      </c>
      <c r="L638">
        <f t="shared" si="58"/>
        <v>-6.7039357221902176E-3</v>
      </c>
      <c r="M638">
        <f t="shared" si="59"/>
        <v>-5.3069417376898423E-3</v>
      </c>
    </row>
    <row r="639" spans="1:13" x14ac:dyDescent="0.2">
      <c r="A639" s="6">
        <v>45021</v>
      </c>
      <c r="B639" s="7">
        <v>27.43</v>
      </c>
      <c r="C639" s="7">
        <v>106.69</v>
      </c>
      <c r="D639" s="7">
        <v>220.13</v>
      </c>
      <c r="E639" s="7">
        <v>103.95</v>
      </c>
      <c r="F639" s="7">
        <v>48.81</v>
      </c>
      <c r="G639" s="7">
        <v>278.64999999999998</v>
      </c>
      <c r="H639">
        <f t="shared" si="54"/>
        <v>2.0999113854420281E-2</v>
      </c>
      <c r="I639">
        <f t="shared" si="55"/>
        <v>-1.3314288204877043E-2</v>
      </c>
      <c r="J639">
        <f t="shared" si="56"/>
        <v>1.1927480601024535E-2</v>
      </c>
      <c r="K639">
        <f t="shared" si="57"/>
        <v>2.7799888277596226E-2</v>
      </c>
      <c r="L639">
        <f t="shared" si="58"/>
        <v>-5.1088289312870763E-3</v>
      </c>
      <c r="M639">
        <f t="shared" si="59"/>
        <v>-4.9045151742338425E-3</v>
      </c>
    </row>
    <row r="640" spans="1:13" x14ac:dyDescent="0.2">
      <c r="A640" s="6">
        <v>45020</v>
      </c>
      <c r="B640" s="7">
        <v>27.94</v>
      </c>
      <c r="C640" s="7">
        <v>103.92</v>
      </c>
      <c r="D640" s="7">
        <v>219</v>
      </c>
      <c r="E640" s="7">
        <v>102.41</v>
      </c>
      <c r="F640" s="7">
        <v>48.5</v>
      </c>
      <c r="G640" s="7">
        <v>277.10000000000002</v>
      </c>
      <c r="H640">
        <f t="shared" si="54"/>
        <v>1.8422048879303925E-2</v>
      </c>
      <c r="I640">
        <f t="shared" si="55"/>
        <v>-2.6306060841025731E-2</v>
      </c>
      <c r="J640">
        <f t="shared" si="56"/>
        <v>-5.1465511087390951E-3</v>
      </c>
      <c r="K640">
        <f t="shared" si="57"/>
        <v>-1.4925650216675706E-2</v>
      </c>
      <c r="L640">
        <f t="shared" si="58"/>
        <v>-6.3714119556186853E-3</v>
      </c>
      <c r="M640">
        <f t="shared" si="59"/>
        <v>-5.57806214661246E-3</v>
      </c>
    </row>
    <row r="641" spans="1:13" x14ac:dyDescent="0.2">
      <c r="A641" s="6">
        <v>45019</v>
      </c>
      <c r="B641" s="7">
        <v>27.75</v>
      </c>
      <c r="C641" s="7">
        <v>104.63</v>
      </c>
      <c r="D641" s="7">
        <v>212.69</v>
      </c>
      <c r="E641" s="7">
        <v>103.29</v>
      </c>
      <c r="F641" s="7">
        <v>48.45</v>
      </c>
      <c r="G641" s="7">
        <v>279</v>
      </c>
      <c r="H641">
        <f t="shared" si="54"/>
        <v>-6.823513636372321E-3</v>
      </c>
      <c r="I641">
        <f t="shared" si="55"/>
        <v>6.8089450306118553E-3</v>
      </c>
      <c r="J641">
        <f t="shared" si="56"/>
        <v>-2.9236023290047125E-2</v>
      </c>
      <c r="K641">
        <f t="shared" si="57"/>
        <v>8.5562019311959635E-3</v>
      </c>
      <c r="L641">
        <f t="shared" si="58"/>
        <v>-1.0314596066622707E-3</v>
      </c>
      <c r="M641">
        <f t="shared" si="59"/>
        <v>6.8333299524328851E-3</v>
      </c>
    </row>
    <row r="642" spans="1:13" x14ac:dyDescent="0.2">
      <c r="A642" s="6">
        <v>45016</v>
      </c>
      <c r="B642" s="7">
        <v>27.36</v>
      </c>
      <c r="C642" s="7">
        <v>105.71</v>
      </c>
      <c r="D642" s="7">
        <v>212.54</v>
      </c>
      <c r="E642" s="7">
        <v>102</v>
      </c>
      <c r="F642" s="7">
        <v>48.35</v>
      </c>
      <c r="G642" s="7">
        <v>275.69</v>
      </c>
      <c r="H642">
        <f t="shared" si="54"/>
        <v>-1.4153747438093771E-2</v>
      </c>
      <c r="I642">
        <f t="shared" si="55"/>
        <v>1.0269178387615787E-2</v>
      </c>
      <c r="J642">
        <f t="shared" si="56"/>
        <v>-7.0550058190460313E-4</v>
      </c>
      <c r="K642">
        <f t="shared" si="57"/>
        <v>-1.2567752734271086E-2</v>
      </c>
      <c r="L642">
        <f t="shared" si="58"/>
        <v>-2.0661164374718927E-3</v>
      </c>
      <c r="M642">
        <f t="shared" si="59"/>
        <v>-1.1934735758828745E-2</v>
      </c>
    </row>
    <row r="643" spans="1:13" x14ac:dyDescent="0.2">
      <c r="A643" s="6">
        <v>45015</v>
      </c>
      <c r="B643" s="7">
        <v>26.96</v>
      </c>
      <c r="C643" s="7">
        <v>107.68</v>
      </c>
      <c r="D643" s="7">
        <v>213.43</v>
      </c>
      <c r="E643" s="7">
        <v>100.25</v>
      </c>
      <c r="F643" s="7">
        <v>48.01</v>
      </c>
      <c r="G643" s="7">
        <v>272.69</v>
      </c>
      <c r="H643">
        <f t="shared" si="54"/>
        <v>-1.4727806710243398E-2</v>
      </c>
      <c r="I643">
        <f t="shared" si="55"/>
        <v>1.8464370115846146E-2</v>
      </c>
      <c r="J643">
        <f t="shared" si="56"/>
        <v>4.1787041109276144E-3</v>
      </c>
      <c r="K643">
        <f t="shared" si="57"/>
        <v>-1.7305747097592566E-2</v>
      </c>
      <c r="L643">
        <f t="shared" si="58"/>
        <v>-7.0568993564544017E-3</v>
      </c>
      <c r="M643">
        <f t="shared" si="59"/>
        <v>-1.0941427217067295E-2</v>
      </c>
    </row>
    <row r="644" spans="1:13" x14ac:dyDescent="0.2">
      <c r="A644" s="6">
        <v>45014</v>
      </c>
      <c r="B644" s="7">
        <v>26.39</v>
      </c>
      <c r="C644" s="7">
        <v>103.75</v>
      </c>
      <c r="D644" s="7">
        <v>214.78</v>
      </c>
      <c r="E644" s="7">
        <v>97.24</v>
      </c>
      <c r="F644" s="7">
        <v>48.34</v>
      </c>
      <c r="G644" s="7">
        <v>272.66000000000003</v>
      </c>
      <c r="H644">
        <f t="shared" ref="H644:H707" si="60">LN(B644/B643)</f>
        <v>-2.136913552887355E-2</v>
      </c>
      <c r="I644">
        <f t="shared" ref="I644:I707" si="61">LN(C644/C643)</f>
        <v>-3.7179706785610091E-2</v>
      </c>
      <c r="J644">
        <f t="shared" ref="J644:J707" si="62">LN(D644/D643)</f>
        <v>6.3053383745937741E-3</v>
      </c>
      <c r="K644">
        <f t="shared" ref="K644:K707" si="63">LN(E644/E643)</f>
        <v>-3.0484916738756061E-2</v>
      </c>
      <c r="L644">
        <f t="shared" ref="L644:L707" si="64">LN(F644/F643)</f>
        <v>6.8500527324880768E-3</v>
      </c>
      <c r="M644">
        <f t="shared" ref="M644:M707" si="65">LN(G644/G643)</f>
        <v>-1.1002108748599117E-4</v>
      </c>
    </row>
    <row r="645" spans="1:13" x14ac:dyDescent="0.2">
      <c r="A645" s="6">
        <v>45013</v>
      </c>
      <c r="B645" s="7">
        <v>26.51</v>
      </c>
      <c r="C645" s="7">
        <v>104</v>
      </c>
      <c r="D645" s="7">
        <v>210.18</v>
      </c>
      <c r="E645" s="7">
        <v>98.04</v>
      </c>
      <c r="F645" s="7">
        <v>48.29</v>
      </c>
      <c r="G645" s="7">
        <v>271.06</v>
      </c>
      <c r="H645">
        <f t="shared" si="60"/>
        <v>4.5368697857015843E-3</v>
      </c>
      <c r="I645">
        <f t="shared" si="61"/>
        <v>2.4067400305650593E-3</v>
      </c>
      <c r="J645">
        <f t="shared" si="62"/>
        <v>-2.1649941992620016E-2</v>
      </c>
      <c r="K645">
        <f t="shared" si="63"/>
        <v>8.1934092119893658E-3</v>
      </c>
      <c r="L645">
        <f t="shared" si="64"/>
        <v>-1.0348753898864894E-3</v>
      </c>
      <c r="M645">
        <f t="shared" si="65"/>
        <v>-5.8853991701138348E-3</v>
      </c>
    </row>
    <row r="646" spans="1:13" x14ac:dyDescent="0.2">
      <c r="A646" s="6">
        <v>45012</v>
      </c>
      <c r="B646" s="7">
        <v>26.76</v>
      </c>
      <c r="C646" s="7">
        <v>103.65</v>
      </c>
      <c r="D646" s="7">
        <v>213.4</v>
      </c>
      <c r="E646" s="7">
        <v>98.13</v>
      </c>
      <c r="F646" s="7">
        <v>48.52</v>
      </c>
      <c r="G646" s="7">
        <v>274.17</v>
      </c>
      <c r="H646">
        <f t="shared" si="60"/>
        <v>9.386214959093437E-3</v>
      </c>
      <c r="I646">
        <f t="shared" si="61"/>
        <v>-3.3710602595840578E-3</v>
      </c>
      <c r="J646">
        <f t="shared" si="62"/>
        <v>1.5204032430202435E-2</v>
      </c>
      <c r="K646">
        <f t="shared" si="63"/>
        <v>9.1757155849039776E-4</v>
      </c>
      <c r="L646">
        <f t="shared" si="64"/>
        <v>4.7515841903988405E-3</v>
      </c>
      <c r="M646">
        <f t="shared" si="65"/>
        <v>1.1408153364350105E-2</v>
      </c>
    </row>
    <row r="647" spans="1:13" x14ac:dyDescent="0.2">
      <c r="A647" s="6">
        <v>45009</v>
      </c>
      <c r="B647" s="7">
        <v>27.17</v>
      </c>
      <c r="C647" s="7">
        <v>103.02</v>
      </c>
      <c r="D647" s="7">
        <v>211.76</v>
      </c>
      <c r="E647" s="7">
        <v>98.71</v>
      </c>
      <c r="F647" s="7">
        <v>48.67</v>
      </c>
      <c r="G647" s="7">
        <v>271.74</v>
      </c>
      <c r="H647">
        <f t="shared" si="60"/>
        <v>1.5205188178228588E-2</v>
      </c>
      <c r="I647">
        <f t="shared" si="61"/>
        <v>-6.0966947443495513E-3</v>
      </c>
      <c r="J647">
        <f t="shared" si="62"/>
        <v>-7.7147809488071857E-3</v>
      </c>
      <c r="K647">
        <f t="shared" si="63"/>
        <v>5.8931282113943379E-3</v>
      </c>
      <c r="L647">
        <f t="shared" si="64"/>
        <v>3.086739769513523E-3</v>
      </c>
      <c r="M647">
        <f t="shared" si="65"/>
        <v>-8.902625156042494E-3</v>
      </c>
    </row>
    <row r="648" spans="1:13" x14ac:dyDescent="0.2">
      <c r="A648" s="6">
        <v>45008</v>
      </c>
      <c r="B648" s="7">
        <v>26.45</v>
      </c>
      <c r="C648" s="7">
        <v>100.2</v>
      </c>
      <c r="D648" s="7">
        <v>210.64</v>
      </c>
      <c r="E648" s="7">
        <v>98.7</v>
      </c>
      <c r="F648" s="7">
        <v>48.76</v>
      </c>
      <c r="G648" s="7">
        <v>269.35000000000002</v>
      </c>
      <c r="H648">
        <f t="shared" si="60"/>
        <v>-2.6857265133948066E-2</v>
      </c>
      <c r="I648">
        <f t="shared" si="61"/>
        <v>-2.7754955486674719E-2</v>
      </c>
      <c r="J648">
        <f t="shared" si="62"/>
        <v>-5.3030427307918862E-3</v>
      </c>
      <c r="K648">
        <f t="shared" si="63"/>
        <v>-1.0131199036059058E-4</v>
      </c>
      <c r="L648">
        <f t="shared" si="64"/>
        <v>1.8474807677078544E-3</v>
      </c>
      <c r="M648">
        <f t="shared" si="65"/>
        <v>-8.8340776696346577E-3</v>
      </c>
    </row>
    <row r="649" spans="1:13" x14ac:dyDescent="0.2">
      <c r="A649" s="6">
        <v>45007</v>
      </c>
      <c r="B649" s="7">
        <v>26.18</v>
      </c>
      <c r="C649" s="7">
        <v>100.7</v>
      </c>
      <c r="D649" s="7">
        <v>206.57</v>
      </c>
      <c r="E649" s="7">
        <v>100.61</v>
      </c>
      <c r="F649" s="7">
        <v>48.39</v>
      </c>
      <c r="G649" s="7">
        <v>269.41000000000003</v>
      </c>
      <c r="H649">
        <f t="shared" si="60"/>
        <v>-1.0260397822554525E-2</v>
      </c>
      <c r="I649">
        <f t="shared" si="61"/>
        <v>4.9776110737522064E-3</v>
      </c>
      <c r="J649">
        <f t="shared" si="62"/>
        <v>-1.9511177177892559E-2</v>
      </c>
      <c r="K649">
        <f t="shared" si="63"/>
        <v>1.916670986452337E-2</v>
      </c>
      <c r="L649">
        <f t="shared" si="64"/>
        <v>-7.6171238078435238E-3</v>
      </c>
      <c r="M649">
        <f t="shared" si="65"/>
        <v>2.2273368567838969E-4</v>
      </c>
    </row>
    <row r="650" spans="1:13" x14ac:dyDescent="0.2">
      <c r="A650" s="6">
        <v>45006</v>
      </c>
      <c r="B650" s="7">
        <v>25.88</v>
      </c>
      <c r="C650" s="7">
        <v>100.34</v>
      </c>
      <c r="D650" s="7">
        <v>204.09</v>
      </c>
      <c r="E650" s="7">
        <v>97.71</v>
      </c>
      <c r="F650" s="7">
        <v>47.6</v>
      </c>
      <c r="G650" s="7">
        <v>275.27999999999997</v>
      </c>
      <c r="H650">
        <f t="shared" si="60"/>
        <v>-1.1525290849054086E-2</v>
      </c>
      <c r="I650">
        <f t="shared" si="61"/>
        <v>-3.581380668409647E-3</v>
      </c>
      <c r="J650">
        <f t="shared" si="62"/>
        <v>-1.2078264985082226E-2</v>
      </c>
      <c r="K650">
        <f t="shared" si="63"/>
        <v>-2.9247748347707523E-2</v>
      </c>
      <c r="L650">
        <f t="shared" si="64"/>
        <v>-1.6460419567852862E-2</v>
      </c>
      <c r="M650">
        <f t="shared" si="65"/>
        <v>2.155437867700348E-2</v>
      </c>
    </row>
    <row r="651" spans="1:13" x14ac:dyDescent="0.2">
      <c r="A651" s="6">
        <v>45005</v>
      </c>
      <c r="B651" s="7">
        <v>25.7</v>
      </c>
      <c r="C651" s="7">
        <v>101.76</v>
      </c>
      <c r="D651" s="7">
        <v>199.45</v>
      </c>
      <c r="E651" s="7">
        <v>98.95</v>
      </c>
      <c r="F651" s="7">
        <v>48.08</v>
      </c>
      <c r="G651" s="7">
        <v>277.86</v>
      </c>
      <c r="H651">
        <f t="shared" si="60"/>
        <v>-6.9794777315257206E-3</v>
      </c>
      <c r="I651">
        <f t="shared" si="61"/>
        <v>1.4052680535705082E-2</v>
      </c>
      <c r="J651">
        <f t="shared" si="62"/>
        <v>-2.2997494673663504E-2</v>
      </c>
      <c r="K651">
        <f t="shared" si="63"/>
        <v>1.2610764092323055E-2</v>
      </c>
      <c r="L651">
        <f t="shared" si="64"/>
        <v>1.0033528989577784E-2</v>
      </c>
      <c r="M651">
        <f t="shared" si="65"/>
        <v>9.3286282314908164E-3</v>
      </c>
    </row>
    <row r="652" spans="1:13" x14ac:dyDescent="0.2">
      <c r="A652" s="6">
        <v>45002</v>
      </c>
      <c r="B652" s="7">
        <v>25.52</v>
      </c>
      <c r="C652" s="7">
        <v>104.72</v>
      </c>
      <c r="D652" s="7">
        <v>201.6</v>
      </c>
      <c r="E652" s="7">
        <v>100.04</v>
      </c>
      <c r="F652" s="7">
        <v>47.68</v>
      </c>
      <c r="G652" s="7">
        <v>275.43</v>
      </c>
      <c r="H652">
        <f t="shared" si="60"/>
        <v>-7.0285334245849575E-3</v>
      </c>
      <c r="I652">
        <f t="shared" si="61"/>
        <v>2.8673022009832336E-2</v>
      </c>
      <c r="J652">
        <f t="shared" si="62"/>
        <v>1.072195784579792E-2</v>
      </c>
      <c r="K652">
        <f t="shared" si="63"/>
        <v>1.0955433960843504E-2</v>
      </c>
      <c r="L652">
        <f t="shared" si="64"/>
        <v>-8.3542674698578127E-3</v>
      </c>
      <c r="M652">
        <f t="shared" si="65"/>
        <v>-8.7838768969973405E-3</v>
      </c>
    </row>
    <row r="653" spans="1:13" x14ac:dyDescent="0.2">
      <c r="A653" s="6">
        <v>45001</v>
      </c>
      <c r="B653" s="7">
        <v>24.21</v>
      </c>
      <c r="C653" s="7">
        <v>104.88</v>
      </c>
      <c r="D653" s="7">
        <v>204.75</v>
      </c>
      <c r="E653" s="7">
        <v>96.2</v>
      </c>
      <c r="F653" s="7">
        <v>47.1</v>
      </c>
      <c r="G653" s="7">
        <v>266.32</v>
      </c>
      <c r="H653">
        <f t="shared" si="60"/>
        <v>-5.2696687526622016E-2</v>
      </c>
      <c r="I653">
        <f t="shared" si="61"/>
        <v>1.5267178537998873E-3</v>
      </c>
      <c r="J653">
        <f t="shared" si="62"/>
        <v>1.5504186535965254E-2</v>
      </c>
      <c r="K653">
        <f t="shared" si="63"/>
        <v>-3.9140748337757582E-2</v>
      </c>
      <c r="L653">
        <f t="shared" si="64"/>
        <v>-1.2239021734722272E-2</v>
      </c>
      <c r="M653">
        <f t="shared" si="65"/>
        <v>-3.3634919556948896E-2</v>
      </c>
    </row>
    <row r="654" spans="1:13" x14ac:dyDescent="0.2">
      <c r="A654" s="6">
        <v>45000</v>
      </c>
      <c r="B654" s="7">
        <v>24.04</v>
      </c>
      <c r="C654" s="7">
        <v>102.66</v>
      </c>
      <c r="D654" s="7">
        <v>203.03</v>
      </c>
      <c r="E654" s="7">
        <v>94.88</v>
      </c>
      <c r="F654" s="7">
        <v>46.63</v>
      </c>
      <c r="G654" s="7">
        <v>264.45</v>
      </c>
      <c r="H654">
        <f t="shared" si="60"/>
        <v>-7.0466612829603384E-3</v>
      </c>
      <c r="I654">
        <f t="shared" si="61"/>
        <v>-2.1394282323287252E-2</v>
      </c>
      <c r="J654">
        <f t="shared" si="62"/>
        <v>-8.4359713590288279E-3</v>
      </c>
      <c r="K654">
        <f t="shared" si="63"/>
        <v>-1.3816422422245541E-2</v>
      </c>
      <c r="L654">
        <f t="shared" si="64"/>
        <v>-1.002889020214257E-2</v>
      </c>
      <c r="M654">
        <f t="shared" si="65"/>
        <v>-7.0463957547805536E-3</v>
      </c>
    </row>
    <row r="655" spans="1:13" x14ac:dyDescent="0.2">
      <c r="A655" s="6">
        <v>44999</v>
      </c>
      <c r="B655" s="7">
        <v>22.95</v>
      </c>
      <c r="C655" s="7">
        <v>104.2</v>
      </c>
      <c r="D655" s="7">
        <v>198.59</v>
      </c>
      <c r="E655" s="7">
        <v>92.43</v>
      </c>
      <c r="F655" s="7">
        <v>46.43</v>
      </c>
      <c r="G655" s="7">
        <v>262.08</v>
      </c>
      <c r="H655">
        <f t="shared" si="60"/>
        <v>-4.6401173160452627E-2</v>
      </c>
      <c r="I655">
        <f t="shared" si="61"/>
        <v>1.4889572187109595E-2</v>
      </c>
      <c r="J655">
        <f t="shared" si="62"/>
        <v>-2.2111353498076615E-2</v>
      </c>
      <c r="K655">
        <f t="shared" si="63"/>
        <v>-2.6161333972728996E-2</v>
      </c>
      <c r="L655">
        <f t="shared" si="64"/>
        <v>-4.2983087883992684E-3</v>
      </c>
      <c r="M655">
        <f t="shared" si="65"/>
        <v>-9.0023968472843219E-3</v>
      </c>
    </row>
    <row r="656" spans="1:13" x14ac:dyDescent="0.2">
      <c r="A656" s="6">
        <v>44998</v>
      </c>
      <c r="B656" s="7">
        <v>22.95</v>
      </c>
      <c r="C656" s="7">
        <v>100.53</v>
      </c>
      <c r="D656" s="7">
        <v>200.92</v>
      </c>
      <c r="E656" s="7">
        <v>90.73</v>
      </c>
      <c r="F656" s="7">
        <v>46.62</v>
      </c>
      <c r="G656" s="7">
        <v>262.5</v>
      </c>
      <c r="H656">
        <f t="shared" si="60"/>
        <v>0</v>
      </c>
      <c r="I656">
        <f t="shared" si="61"/>
        <v>-3.5855938901937834E-2</v>
      </c>
      <c r="J656">
        <f t="shared" si="62"/>
        <v>1.1664421005770637E-2</v>
      </c>
      <c r="K656">
        <f t="shared" si="63"/>
        <v>-1.856353809514873E-2</v>
      </c>
      <c r="L656">
        <f t="shared" si="64"/>
        <v>4.083831575780592E-3</v>
      </c>
      <c r="M656">
        <f t="shared" si="65"/>
        <v>1.6012813669738276E-3</v>
      </c>
    </row>
    <row r="657" spans="1:13" x14ac:dyDescent="0.2">
      <c r="A657" s="6">
        <v>44995</v>
      </c>
      <c r="B657" s="7">
        <v>23.42</v>
      </c>
      <c r="C657" s="7">
        <v>100.92</v>
      </c>
      <c r="D657" s="7">
        <v>196.6</v>
      </c>
      <c r="E657" s="7">
        <v>92.25</v>
      </c>
      <c r="F657" s="7">
        <v>45.85</v>
      </c>
      <c r="G657" s="7">
        <v>264.14</v>
      </c>
      <c r="H657">
        <f t="shared" si="60"/>
        <v>2.0272421663017196E-2</v>
      </c>
      <c r="I657">
        <f t="shared" si="61"/>
        <v>3.8719333555281839E-3</v>
      </c>
      <c r="J657">
        <f t="shared" si="62"/>
        <v>-2.1735611168777799E-2</v>
      </c>
      <c r="K657">
        <f t="shared" si="63"/>
        <v>1.6614219739098973E-2</v>
      </c>
      <c r="L657">
        <f t="shared" si="64"/>
        <v>-1.6654434905137121E-2</v>
      </c>
      <c r="M657">
        <f t="shared" si="65"/>
        <v>6.2281835839798671E-3</v>
      </c>
    </row>
    <row r="658" spans="1:13" x14ac:dyDescent="0.2">
      <c r="A658" s="6">
        <v>44994</v>
      </c>
      <c r="B658" s="7">
        <v>24.16</v>
      </c>
      <c r="C658" s="7">
        <v>99.63</v>
      </c>
      <c r="D658" s="7">
        <v>194.41</v>
      </c>
      <c r="E658" s="7">
        <v>93.92</v>
      </c>
      <c r="F658" s="7">
        <v>45.48</v>
      </c>
      <c r="G658" s="7">
        <v>264.97000000000003</v>
      </c>
      <c r="H658">
        <f t="shared" si="60"/>
        <v>3.1108014897042756E-2</v>
      </c>
      <c r="I658">
        <f t="shared" si="61"/>
        <v>-1.286479971609221E-2</v>
      </c>
      <c r="J658">
        <f t="shared" si="62"/>
        <v>-1.1201876680517774E-2</v>
      </c>
      <c r="K658">
        <f t="shared" si="63"/>
        <v>1.7941073159149789E-2</v>
      </c>
      <c r="L658">
        <f t="shared" si="64"/>
        <v>-8.1025298201386625E-3</v>
      </c>
      <c r="M658">
        <f t="shared" si="65"/>
        <v>3.1373464149363314E-3</v>
      </c>
    </row>
    <row r="659" spans="1:13" x14ac:dyDescent="0.2">
      <c r="A659" s="6">
        <v>44992</v>
      </c>
      <c r="B659" s="7">
        <v>23.27</v>
      </c>
      <c r="C659" s="7">
        <v>95.45</v>
      </c>
      <c r="D659" s="7">
        <v>203.67</v>
      </c>
      <c r="E659" s="7">
        <v>93.55</v>
      </c>
      <c r="F659" s="7">
        <v>45.11</v>
      </c>
      <c r="G659" s="7">
        <v>263.75</v>
      </c>
      <c r="H659">
        <f t="shared" si="60"/>
        <v>-3.7533395752413899E-2</v>
      </c>
      <c r="I659">
        <f t="shared" si="61"/>
        <v>-4.2860773885008203E-2</v>
      </c>
      <c r="J659">
        <f t="shared" si="62"/>
        <v>4.6531705949116819E-2</v>
      </c>
      <c r="K659">
        <f t="shared" si="63"/>
        <v>-3.9473033596877476E-3</v>
      </c>
      <c r="L659">
        <f t="shared" si="64"/>
        <v>-8.1687174620306488E-3</v>
      </c>
      <c r="M659">
        <f t="shared" si="65"/>
        <v>-4.6149272403182466E-3</v>
      </c>
    </row>
    <row r="660" spans="1:13" x14ac:dyDescent="0.2">
      <c r="A660" s="6">
        <v>44992</v>
      </c>
      <c r="B660" s="7">
        <v>23.53</v>
      </c>
      <c r="C660" s="7">
        <v>93.33</v>
      </c>
      <c r="D660" s="7">
        <v>196.54</v>
      </c>
      <c r="E660" s="7">
        <v>93.75</v>
      </c>
      <c r="F660" s="7">
        <v>45.4</v>
      </c>
      <c r="G660" s="7">
        <v>270.12</v>
      </c>
      <c r="H660">
        <f t="shared" si="60"/>
        <v>1.1111225425070849E-2</v>
      </c>
      <c r="I660">
        <f t="shared" si="61"/>
        <v>-2.2460950594101328E-2</v>
      </c>
      <c r="J660">
        <f t="shared" si="62"/>
        <v>-3.5635064047384528E-2</v>
      </c>
      <c r="K660">
        <f t="shared" si="63"/>
        <v>2.1356121304216846E-3</v>
      </c>
      <c r="L660">
        <f t="shared" si="64"/>
        <v>6.4081536269976827E-3</v>
      </c>
      <c r="M660">
        <f t="shared" si="65"/>
        <v>2.3864619916365008E-2</v>
      </c>
    </row>
    <row r="661" spans="1:13" x14ac:dyDescent="0.2">
      <c r="A661" s="6">
        <v>44991</v>
      </c>
      <c r="B661" s="7">
        <v>23.87</v>
      </c>
      <c r="C661" s="7">
        <v>90.49</v>
      </c>
      <c r="D661" s="7">
        <v>192.83</v>
      </c>
      <c r="E661" s="7">
        <v>94.9</v>
      </c>
      <c r="F661" s="7">
        <v>45.56</v>
      </c>
      <c r="G661" s="7">
        <v>269.95999999999998</v>
      </c>
      <c r="H661">
        <f t="shared" si="60"/>
        <v>1.4346237611467525E-2</v>
      </c>
      <c r="I661">
        <f t="shared" si="61"/>
        <v>-3.0902252214613481E-2</v>
      </c>
      <c r="J661">
        <f t="shared" si="62"/>
        <v>-1.9057001202767012E-2</v>
      </c>
      <c r="K661">
        <f t="shared" si="63"/>
        <v>1.2192040765361966E-2</v>
      </c>
      <c r="L661">
        <f t="shared" si="64"/>
        <v>3.5180335316792504E-3</v>
      </c>
      <c r="M661">
        <f t="shared" si="65"/>
        <v>-5.9250483143556102E-4</v>
      </c>
    </row>
    <row r="662" spans="1:13" x14ac:dyDescent="0.2">
      <c r="A662" s="6">
        <v>44988</v>
      </c>
      <c r="B662" s="7">
        <v>23.29</v>
      </c>
      <c r="C662" s="7">
        <v>90.01</v>
      </c>
      <c r="D662" s="7">
        <v>179.79</v>
      </c>
      <c r="E662" s="7">
        <v>92.13</v>
      </c>
      <c r="F662" s="7">
        <v>45.07</v>
      </c>
      <c r="G662" s="7">
        <v>269.14999999999998</v>
      </c>
      <c r="H662">
        <f t="shared" si="60"/>
        <v>-2.4598356454489125E-2</v>
      </c>
      <c r="I662">
        <f t="shared" si="61"/>
        <v>-5.3185720940479089E-3</v>
      </c>
      <c r="J662">
        <f t="shared" si="62"/>
        <v>-7.001946859331018E-2</v>
      </c>
      <c r="K662">
        <f t="shared" si="63"/>
        <v>-2.9623082495041624E-2</v>
      </c>
      <c r="L662">
        <f t="shared" si="64"/>
        <v>-1.0813301876424493E-2</v>
      </c>
      <c r="M662">
        <f t="shared" si="65"/>
        <v>-3.0049548682394311E-3</v>
      </c>
    </row>
    <row r="663" spans="1:13" x14ac:dyDescent="0.2">
      <c r="A663" s="6">
        <v>44986</v>
      </c>
      <c r="B663" s="7">
        <v>23.19</v>
      </c>
      <c r="C663" s="7">
        <v>93.6</v>
      </c>
      <c r="D663" s="7">
        <v>180.58</v>
      </c>
      <c r="E663" s="7">
        <v>94.23</v>
      </c>
      <c r="F663" s="7">
        <v>44.71</v>
      </c>
      <c r="G663" s="7">
        <v>268.76</v>
      </c>
      <c r="H663">
        <f t="shared" si="60"/>
        <v>-4.3029326288092978E-3</v>
      </c>
      <c r="I663">
        <f t="shared" si="61"/>
        <v>3.9109608214552422E-2</v>
      </c>
      <c r="J663">
        <f t="shared" si="62"/>
        <v>4.3843897411296982E-3</v>
      </c>
      <c r="K663">
        <f t="shared" si="63"/>
        <v>2.2537979097824214E-2</v>
      </c>
      <c r="L663">
        <f t="shared" si="64"/>
        <v>-8.0196464566676465E-3</v>
      </c>
      <c r="M663">
        <f t="shared" si="65"/>
        <v>-1.4500569550170632E-3</v>
      </c>
    </row>
    <row r="664" spans="1:13" x14ac:dyDescent="0.2">
      <c r="A664" s="6">
        <v>44985</v>
      </c>
      <c r="B664" s="7">
        <v>23.48</v>
      </c>
      <c r="C664" s="7">
        <v>93.22</v>
      </c>
      <c r="D664" s="7">
        <v>183.84</v>
      </c>
      <c r="E664" s="7">
        <v>93.76</v>
      </c>
      <c r="F664" s="7">
        <v>44.97</v>
      </c>
      <c r="G664" s="7">
        <v>266.52</v>
      </c>
      <c r="H664">
        <f t="shared" si="60"/>
        <v>1.2427843692455287E-2</v>
      </c>
      <c r="I664">
        <f t="shared" si="61"/>
        <v>-4.0680925389514622E-3</v>
      </c>
      <c r="J664">
        <f t="shared" si="62"/>
        <v>1.7891921221112321E-2</v>
      </c>
      <c r="K664">
        <f t="shared" si="63"/>
        <v>-5.0002763899623208E-3</v>
      </c>
      <c r="L664">
        <f t="shared" si="64"/>
        <v>5.7984105367267485E-3</v>
      </c>
      <c r="M664">
        <f t="shared" si="65"/>
        <v>-8.3695003576128649E-3</v>
      </c>
    </row>
    <row r="665" spans="1:13" x14ac:dyDescent="0.2">
      <c r="A665" s="6">
        <v>44984</v>
      </c>
      <c r="B665" s="7">
        <v>23.26</v>
      </c>
      <c r="C665" s="7">
        <v>94.48</v>
      </c>
      <c r="D665" s="7">
        <v>183.38</v>
      </c>
      <c r="E665" s="7">
        <v>93.5</v>
      </c>
      <c r="F665" s="7">
        <v>44.47</v>
      </c>
      <c r="G665" s="7">
        <v>267.39999999999998</v>
      </c>
      <c r="H665">
        <f t="shared" si="60"/>
        <v>-9.4138478693772849E-3</v>
      </c>
      <c r="I665">
        <f t="shared" si="61"/>
        <v>1.342588094451198E-2</v>
      </c>
      <c r="J665">
        <f t="shared" si="62"/>
        <v>-2.505311478690818E-3</v>
      </c>
      <c r="K665">
        <f t="shared" si="63"/>
        <v>-2.7768895340611697E-3</v>
      </c>
      <c r="L665">
        <f t="shared" si="64"/>
        <v>-1.1180796260010908E-2</v>
      </c>
      <c r="M665">
        <f t="shared" si="65"/>
        <v>3.2963769735064965E-3</v>
      </c>
    </row>
    <row r="666" spans="1:13" x14ac:dyDescent="0.2">
      <c r="A666" s="6">
        <v>44981</v>
      </c>
      <c r="B666" s="7">
        <v>23.64</v>
      </c>
      <c r="C666" s="7">
        <v>93.01</v>
      </c>
      <c r="D666" s="7">
        <v>183.77</v>
      </c>
      <c r="E666" s="7">
        <v>95.82</v>
      </c>
      <c r="F666" s="7">
        <v>44.24</v>
      </c>
      <c r="G666" s="7">
        <v>267.20999999999998</v>
      </c>
      <c r="H666">
        <f t="shared" si="60"/>
        <v>1.6205045447378975E-2</v>
      </c>
      <c r="I666">
        <f t="shared" si="61"/>
        <v>-1.568115763473131E-2</v>
      </c>
      <c r="J666">
        <f t="shared" si="62"/>
        <v>2.1244730855782636E-3</v>
      </c>
      <c r="K666">
        <f t="shared" si="63"/>
        <v>2.4509995160334613E-2</v>
      </c>
      <c r="L666">
        <f t="shared" si="64"/>
        <v>-5.1854473085255984E-3</v>
      </c>
      <c r="M666">
        <f t="shared" si="65"/>
        <v>-7.107985559549365E-4</v>
      </c>
    </row>
    <row r="667" spans="1:13" x14ac:dyDescent="0.2">
      <c r="A667" s="6">
        <v>44980</v>
      </c>
      <c r="B667" s="7">
        <v>20.73</v>
      </c>
      <c r="C667" s="7">
        <v>91.37</v>
      </c>
      <c r="D667" s="7">
        <v>184.11</v>
      </c>
      <c r="E667" s="7">
        <v>95.79</v>
      </c>
      <c r="F667" s="7">
        <v>44.11</v>
      </c>
      <c r="G667" s="7">
        <v>268.77999999999997</v>
      </c>
      <c r="H667">
        <f t="shared" si="60"/>
        <v>-0.13135826609020917</v>
      </c>
      <c r="I667">
        <f t="shared" si="61"/>
        <v>-1.778981724384639E-2</v>
      </c>
      <c r="J667">
        <f t="shared" si="62"/>
        <v>1.8484293617823751E-3</v>
      </c>
      <c r="K667">
        <f t="shared" si="63"/>
        <v>-3.1313606017554352E-4</v>
      </c>
      <c r="L667">
        <f t="shared" si="64"/>
        <v>-2.9428430972310926E-3</v>
      </c>
      <c r="M667">
        <f t="shared" si="65"/>
        <v>5.8583350070302445E-3</v>
      </c>
    </row>
    <row r="668" spans="1:13" x14ac:dyDescent="0.2">
      <c r="A668" s="6">
        <v>44978</v>
      </c>
      <c r="B668" s="7">
        <v>21.37</v>
      </c>
      <c r="C668" s="7">
        <v>89.44</v>
      </c>
      <c r="D668" s="7">
        <v>172.36</v>
      </c>
      <c r="E668" s="7">
        <v>97.2</v>
      </c>
      <c r="F668" s="7">
        <v>44.47</v>
      </c>
      <c r="G668" s="7">
        <v>272.04000000000002</v>
      </c>
      <c r="H668">
        <f t="shared" si="60"/>
        <v>3.0406142883368015E-2</v>
      </c>
      <c r="I668">
        <f t="shared" si="61"/>
        <v>-2.1349187603740216E-2</v>
      </c>
      <c r="J668">
        <f t="shared" si="62"/>
        <v>-6.594809232147808E-2</v>
      </c>
      <c r="K668">
        <f t="shared" si="63"/>
        <v>1.4612416071593066E-2</v>
      </c>
      <c r="L668">
        <f t="shared" si="64"/>
        <v>8.1282904057566937E-3</v>
      </c>
      <c r="M668">
        <f t="shared" si="65"/>
        <v>1.2055913188519946E-2</v>
      </c>
    </row>
    <row r="669" spans="1:13" x14ac:dyDescent="0.2">
      <c r="A669" s="6">
        <v>44974</v>
      </c>
      <c r="B669" s="7">
        <v>21.98</v>
      </c>
      <c r="C669" s="7">
        <v>89.25</v>
      </c>
      <c r="D669" s="7">
        <v>173.87</v>
      </c>
      <c r="E669" s="7">
        <v>98.15</v>
      </c>
      <c r="F669" s="7">
        <v>44.84</v>
      </c>
      <c r="G669" s="7">
        <v>269.35000000000002</v>
      </c>
      <c r="H669">
        <f t="shared" si="60"/>
        <v>2.8144879644419113E-2</v>
      </c>
      <c r="I669">
        <f t="shared" si="61"/>
        <v>-2.1265887470405921E-3</v>
      </c>
      <c r="J669">
        <f t="shared" si="62"/>
        <v>8.7225807920609938E-3</v>
      </c>
      <c r="K669">
        <f t="shared" si="63"/>
        <v>9.72620925607676E-3</v>
      </c>
      <c r="L669">
        <f t="shared" si="64"/>
        <v>8.2857936813542123E-3</v>
      </c>
      <c r="M669">
        <f t="shared" si="65"/>
        <v>-9.9374651808952184E-3</v>
      </c>
    </row>
    <row r="670" spans="1:13" x14ac:dyDescent="0.2">
      <c r="A670" s="6">
        <v>44973</v>
      </c>
      <c r="B670" s="7">
        <v>22.74</v>
      </c>
      <c r="C670" s="7">
        <v>88.52</v>
      </c>
      <c r="D670" s="7">
        <v>168.5</v>
      </c>
      <c r="E670" s="7">
        <v>101.16</v>
      </c>
      <c r="F670" s="7">
        <v>45.29</v>
      </c>
      <c r="G670" s="7">
        <v>276.31</v>
      </c>
      <c r="H670">
        <f t="shared" si="60"/>
        <v>3.3992539346914638E-2</v>
      </c>
      <c r="I670">
        <f t="shared" si="61"/>
        <v>-8.2129054768995645E-3</v>
      </c>
      <c r="J670">
        <f t="shared" si="62"/>
        <v>-3.1372143747281998E-2</v>
      </c>
      <c r="K670">
        <f t="shared" si="63"/>
        <v>3.0206501079294134E-2</v>
      </c>
      <c r="L670">
        <f t="shared" si="64"/>
        <v>9.9856593641633028E-3</v>
      </c>
      <c r="M670">
        <f t="shared" si="65"/>
        <v>2.5511774692229559E-2</v>
      </c>
    </row>
    <row r="671" spans="1:13" x14ac:dyDescent="0.2">
      <c r="A671" s="6">
        <v>44972</v>
      </c>
      <c r="B671" s="7">
        <v>22.95</v>
      </c>
      <c r="C671" s="7">
        <v>90.27</v>
      </c>
      <c r="D671" s="7">
        <v>169.35</v>
      </c>
      <c r="E671" s="7">
        <v>99.7</v>
      </c>
      <c r="F671" s="7">
        <v>45.3</v>
      </c>
      <c r="G671" s="7">
        <v>276.52999999999997</v>
      </c>
      <c r="H671">
        <f t="shared" si="60"/>
        <v>9.1924481841641446E-3</v>
      </c>
      <c r="I671">
        <f t="shared" si="61"/>
        <v>1.9576664127214715E-2</v>
      </c>
      <c r="J671">
        <f t="shared" si="62"/>
        <v>5.0318294713642192E-3</v>
      </c>
      <c r="K671">
        <f t="shared" si="63"/>
        <v>-1.4537744833971723E-2</v>
      </c>
      <c r="L671">
        <f t="shared" si="64"/>
        <v>2.207749208657822E-4</v>
      </c>
      <c r="M671">
        <f t="shared" si="65"/>
        <v>7.9589035385665692E-4</v>
      </c>
    </row>
    <row r="672" spans="1:13" x14ac:dyDescent="0.2">
      <c r="A672" s="6">
        <v>44971</v>
      </c>
      <c r="B672" s="7">
        <v>21.77</v>
      </c>
      <c r="C672" s="7">
        <v>91.02</v>
      </c>
      <c r="D672" s="7">
        <v>170.99</v>
      </c>
      <c r="E672" s="7">
        <v>99.54</v>
      </c>
      <c r="F672" s="7">
        <v>45.24</v>
      </c>
      <c r="G672" s="7">
        <v>271.5</v>
      </c>
      <c r="H672">
        <f t="shared" si="60"/>
        <v>-5.278506126009809E-2</v>
      </c>
      <c r="I672">
        <f t="shared" si="61"/>
        <v>8.274083278432369E-3</v>
      </c>
      <c r="J672">
        <f t="shared" si="62"/>
        <v>9.6374959967209968E-3</v>
      </c>
      <c r="K672">
        <f t="shared" si="63"/>
        <v>-1.6061035373844709E-3</v>
      </c>
      <c r="L672">
        <f t="shared" si="64"/>
        <v>-1.3253812410685707E-3</v>
      </c>
      <c r="M672">
        <f t="shared" si="65"/>
        <v>-1.8357174798638954E-2</v>
      </c>
    </row>
    <row r="673" spans="1:13" x14ac:dyDescent="0.2">
      <c r="A673" s="6">
        <v>44970</v>
      </c>
      <c r="B673" s="7">
        <v>21.24</v>
      </c>
      <c r="C673" s="7">
        <v>91.16</v>
      </c>
      <c r="D673" s="7">
        <v>170.07</v>
      </c>
      <c r="E673" s="7">
        <v>97.61</v>
      </c>
      <c r="F673" s="7">
        <v>45.13</v>
      </c>
      <c r="G673" s="7">
        <v>269.44</v>
      </c>
      <c r="H673">
        <f t="shared" si="60"/>
        <v>-2.4646678872718045E-2</v>
      </c>
      <c r="I673">
        <f t="shared" si="61"/>
        <v>1.5369417889876387E-3</v>
      </c>
      <c r="J673">
        <f t="shared" si="62"/>
        <v>-5.3949582561796348E-3</v>
      </c>
      <c r="K673">
        <f t="shared" si="63"/>
        <v>-1.957962624353448E-2</v>
      </c>
      <c r="L673">
        <f t="shared" si="64"/>
        <v>-2.4344374090098466E-3</v>
      </c>
      <c r="M673">
        <f t="shared" si="65"/>
        <v>-7.6164083200282078E-3</v>
      </c>
    </row>
    <row r="674" spans="1:13" x14ac:dyDescent="0.2">
      <c r="A674" s="6">
        <v>44967</v>
      </c>
      <c r="B674" s="7">
        <v>22.31</v>
      </c>
      <c r="C674" s="7">
        <v>93.7</v>
      </c>
      <c r="D674" s="7">
        <v>171.03</v>
      </c>
      <c r="E674" s="7">
        <v>98.24</v>
      </c>
      <c r="F674" s="7">
        <v>45.77</v>
      </c>
      <c r="G674" s="7">
        <v>274.76</v>
      </c>
      <c r="H674">
        <f t="shared" si="60"/>
        <v>4.9148812070702978E-2</v>
      </c>
      <c r="I674">
        <f t="shared" si="61"/>
        <v>2.7481984866893159E-2</v>
      </c>
      <c r="J674">
        <f t="shared" si="62"/>
        <v>5.6288627072781112E-3</v>
      </c>
      <c r="K674">
        <f t="shared" si="63"/>
        <v>6.4335172119586422E-3</v>
      </c>
      <c r="L674">
        <f t="shared" si="64"/>
        <v>1.4081640826641019E-2</v>
      </c>
      <c r="M674">
        <f t="shared" si="65"/>
        <v>1.955225829171903E-2</v>
      </c>
    </row>
    <row r="675" spans="1:13" x14ac:dyDescent="0.2">
      <c r="A675" s="6">
        <v>44966</v>
      </c>
      <c r="B675" s="7">
        <v>22.18</v>
      </c>
      <c r="C675" s="7">
        <v>94.86</v>
      </c>
      <c r="D675" s="7">
        <v>171.82</v>
      </c>
      <c r="E675" s="7">
        <v>100.05</v>
      </c>
      <c r="F675" s="7">
        <v>45.55</v>
      </c>
      <c r="G675" s="7">
        <v>274.27</v>
      </c>
      <c r="H675">
        <f t="shared" si="60"/>
        <v>-5.8440265222201183E-3</v>
      </c>
      <c r="I675">
        <f t="shared" si="61"/>
        <v>1.2303931205059213E-2</v>
      </c>
      <c r="J675">
        <f t="shared" si="62"/>
        <v>4.6084374983102879E-3</v>
      </c>
      <c r="K675">
        <f t="shared" si="63"/>
        <v>1.8256596630910213E-2</v>
      </c>
      <c r="L675">
        <f t="shared" si="64"/>
        <v>-4.8182309595835374E-3</v>
      </c>
      <c r="M675">
        <f t="shared" si="65"/>
        <v>-1.7849666870638609E-3</v>
      </c>
    </row>
    <row r="676" spans="1:13" x14ac:dyDescent="0.2">
      <c r="A676" s="6">
        <v>44965</v>
      </c>
      <c r="B676" s="7">
        <v>22.15</v>
      </c>
      <c r="C676" s="7">
        <v>96.28</v>
      </c>
      <c r="D676" s="7">
        <v>171.38</v>
      </c>
      <c r="E676" s="7">
        <v>102.11</v>
      </c>
      <c r="F676" s="7">
        <v>45.88</v>
      </c>
      <c r="G676" s="7">
        <v>274.87</v>
      </c>
      <c r="H676">
        <f t="shared" si="60"/>
        <v>-1.3534854310763762E-3</v>
      </c>
      <c r="I676">
        <f t="shared" si="61"/>
        <v>1.4858492465435556E-2</v>
      </c>
      <c r="J676">
        <f t="shared" si="62"/>
        <v>-2.5641039689376474E-3</v>
      </c>
      <c r="K676">
        <f t="shared" si="63"/>
        <v>2.0380602537704313E-2</v>
      </c>
      <c r="L676">
        <f t="shared" si="64"/>
        <v>7.2186685552027468E-3</v>
      </c>
      <c r="M676">
        <f t="shared" si="65"/>
        <v>2.1852359644636624E-3</v>
      </c>
    </row>
    <row r="677" spans="1:13" x14ac:dyDescent="0.2">
      <c r="A677" s="6">
        <v>44964</v>
      </c>
      <c r="B677" s="7">
        <v>21.07</v>
      </c>
      <c r="C677" s="7">
        <v>94.03</v>
      </c>
      <c r="D677" s="7">
        <v>176.07</v>
      </c>
      <c r="E677" s="7">
        <v>102.18</v>
      </c>
      <c r="F677" s="7">
        <v>45.76</v>
      </c>
      <c r="G677" s="7">
        <v>277.33</v>
      </c>
      <c r="H677">
        <f t="shared" si="60"/>
        <v>-4.9987268675046846E-2</v>
      </c>
      <c r="I677">
        <f t="shared" si="61"/>
        <v>-2.3646732625885646E-2</v>
      </c>
      <c r="J677">
        <f t="shared" si="62"/>
        <v>2.699832999738001E-2</v>
      </c>
      <c r="K677">
        <f t="shared" si="63"/>
        <v>6.8530033520529572E-4</v>
      </c>
      <c r="L677">
        <f t="shared" si="64"/>
        <v>-2.6189451896276058E-3</v>
      </c>
      <c r="M677">
        <f t="shared" si="65"/>
        <v>8.9098742270173909E-3</v>
      </c>
    </row>
    <row r="678" spans="1:13" x14ac:dyDescent="0.2">
      <c r="A678" s="6">
        <v>44963</v>
      </c>
      <c r="B678" s="7">
        <v>21.08</v>
      </c>
      <c r="C678" s="7">
        <v>93.96</v>
      </c>
      <c r="D678" s="7">
        <v>178.38</v>
      </c>
      <c r="E678" s="7">
        <v>103.39</v>
      </c>
      <c r="F678" s="7">
        <v>46.45</v>
      </c>
      <c r="G678" s="7">
        <v>274.54000000000002</v>
      </c>
      <c r="H678">
        <f t="shared" si="60"/>
        <v>4.7449585706380346E-4</v>
      </c>
      <c r="I678">
        <f t="shared" si="61"/>
        <v>-7.4472049827357294E-4</v>
      </c>
      <c r="J678">
        <f t="shared" si="62"/>
        <v>1.3034462999708554E-2</v>
      </c>
      <c r="K678">
        <f t="shared" si="63"/>
        <v>1.1772281695949708E-2</v>
      </c>
      <c r="L678">
        <f t="shared" si="64"/>
        <v>1.49661181883052E-2</v>
      </c>
      <c r="M678">
        <f t="shared" si="65"/>
        <v>-1.011116302658446E-2</v>
      </c>
    </row>
    <row r="679" spans="1:13" x14ac:dyDescent="0.2">
      <c r="A679" s="6">
        <v>44960</v>
      </c>
      <c r="B679" s="7">
        <v>21.69</v>
      </c>
      <c r="C679" s="7">
        <v>93.92</v>
      </c>
      <c r="D679" s="7">
        <v>178.33</v>
      </c>
      <c r="E679" s="7">
        <v>112.91</v>
      </c>
      <c r="F679" s="7">
        <v>47.44</v>
      </c>
      <c r="G679" s="7">
        <v>273.8</v>
      </c>
      <c r="H679">
        <f t="shared" si="60"/>
        <v>2.8526601165621536E-2</v>
      </c>
      <c r="I679">
        <f t="shared" si="61"/>
        <v>-4.2580371092559345E-4</v>
      </c>
      <c r="J679">
        <f t="shared" si="62"/>
        <v>-2.8033977363928843E-4</v>
      </c>
      <c r="K679">
        <f t="shared" si="63"/>
        <v>8.8082795593829061E-2</v>
      </c>
      <c r="L679">
        <f t="shared" si="64"/>
        <v>2.1089289429622345E-2</v>
      </c>
      <c r="M679">
        <f t="shared" si="65"/>
        <v>-2.6990569691650581E-3</v>
      </c>
    </row>
    <row r="680" spans="1:13" x14ac:dyDescent="0.2">
      <c r="A680" s="6">
        <v>44959</v>
      </c>
      <c r="B680" s="7">
        <v>20.92</v>
      </c>
      <c r="C680" s="7">
        <v>94.36</v>
      </c>
      <c r="D680" s="7">
        <v>173.08</v>
      </c>
      <c r="E680" s="7">
        <v>105.15</v>
      </c>
      <c r="F680" s="7">
        <v>47.16</v>
      </c>
      <c r="G680" s="7">
        <v>294.60000000000002</v>
      </c>
      <c r="H680">
        <f t="shared" si="60"/>
        <v>-3.6145685642060846E-2</v>
      </c>
      <c r="I680">
        <f t="shared" si="61"/>
        <v>4.6738984596879935E-3</v>
      </c>
      <c r="J680">
        <f t="shared" si="62"/>
        <v>-2.988185110773784E-2</v>
      </c>
      <c r="K680">
        <f t="shared" si="63"/>
        <v>-7.1203139043721927E-2</v>
      </c>
      <c r="L680">
        <f t="shared" si="64"/>
        <v>-5.9196790202998423E-3</v>
      </c>
      <c r="M680">
        <f t="shared" si="65"/>
        <v>7.3220591174181393E-2</v>
      </c>
    </row>
    <row r="681" spans="1:13" x14ac:dyDescent="0.2">
      <c r="A681" s="6">
        <v>44958</v>
      </c>
      <c r="B681" s="7">
        <v>19.52</v>
      </c>
      <c r="C681" s="7">
        <v>98.69</v>
      </c>
      <c r="D681" s="7">
        <v>176.83</v>
      </c>
      <c r="E681" s="7">
        <v>103.13</v>
      </c>
      <c r="F681" s="7">
        <v>46.46</v>
      </c>
      <c r="G681" s="7">
        <v>297.64999999999998</v>
      </c>
      <c r="H681">
        <f t="shared" si="60"/>
        <v>-6.9266058211775797E-2</v>
      </c>
      <c r="I681">
        <f t="shared" si="61"/>
        <v>4.4866369644441531E-2</v>
      </c>
      <c r="J681">
        <f t="shared" si="62"/>
        <v>2.1434903710201843E-2</v>
      </c>
      <c r="K681">
        <f t="shared" si="63"/>
        <v>-1.9397573820731279E-2</v>
      </c>
      <c r="L681">
        <f t="shared" si="64"/>
        <v>-1.4954348326906976E-2</v>
      </c>
      <c r="M681">
        <f t="shared" si="65"/>
        <v>1.0299795570869004E-2</v>
      </c>
    </row>
    <row r="682" spans="1:13" x14ac:dyDescent="0.2">
      <c r="A682" s="6">
        <v>44957</v>
      </c>
      <c r="B682" s="7">
        <v>19.14</v>
      </c>
      <c r="C682" s="7">
        <v>106.9</v>
      </c>
      <c r="D682" s="7">
        <v>182.31</v>
      </c>
      <c r="E682" s="7">
        <v>100.55</v>
      </c>
      <c r="F682" s="7">
        <v>47.2</v>
      </c>
      <c r="G682" s="7">
        <v>297.14</v>
      </c>
      <c r="H682">
        <f t="shared" si="60"/>
        <v>-1.9659194960138203E-2</v>
      </c>
      <c r="I682">
        <f t="shared" si="61"/>
        <v>7.9910193847083769E-2</v>
      </c>
      <c r="J682">
        <f t="shared" si="62"/>
        <v>3.0519715748487549E-2</v>
      </c>
      <c r="K682">
        <f t="shared" si="63"/>
        <v>-2.5335212109316611E-2</v>
      </c>
      <c r="L682">
        <f t="shared" si="64"/>
        <v>1.5802165249246693E-2</v>
      </c>
      <c r="M682">
        <f t="shared" si="65"/>
        <v>-1.7148913901922447E-3</v>
      </c>
    </row>
    <row r="683" spans="1:13" x14ac:dyDescent="0.2">
      <c r="A683" s="6">
        <v>44956</v>
      </c>
      <c r="B683" s="7">
        <v>20.34</v>
      </c>
      <c r="C683" s="7">
        <v>102.2</v>
      </c>
      <c r="D683" s="7">
        <v>190.45</v>
      </c>
      <c r="E683" s="7">
        <v>102.24</v>
      </c>
      <c r="F683" s="7">
        <v>46.85</v>
      </c>
      <c r="G683" s="7">
        <v>295.05</v>
      </c>
      <c r="H683">
        <f t="shared" si="60"/>
        <v>6.0809004595605579E-2</v>
      </c>
      <c r="I683">
        <f t="shared" si="61"/>
        <v>-4.49621402613955E-2</v>
      </c>
      <c r="J683">
        <f t="shared" si="62"/>
        <v>4.3681158109239476E-2</v>
      </c>
      <c r="K683">
        <f t="shared" si="63"/>
        <v>1.666787441056361E-2</v>
      </c>
      <c r="L683">
        <f t="shared" si="64"/>
        <v>-7.4428839070785364E-3</v>
      </c>
      <c r="M683">
        <f t="shared" si="65"/>
        <v>-7.0585747060289607E-3</v>
      </c>
    </row>
    <row r="684" spans="1:13" x14ac:dyDescent="0.2">
      <c r="A684" s="6">
        <v>44953</v>
      </c>
      <c r="B684" s="7">
        <v>19.78</v>
      </c>
      <c r="C684" s="7">
        <v>104.06</v>
      </c>
      <c r="D684" s="7">
        <v>184.92</v>
      </c>
      <c r="E684" s="7">
        <v>99.22</v>
      </c>
      <c r="F684" s="7">
        <v>46.99</v>
      </c>
      <c r="G684" s="7">
        <v>299.77</v>
      </c>
      <c r="H684">
        <f t="shared" si="60"/>
        <v>-2.7918064425847742E-2</v>
      </c>
      <c r="I684">
        <f t="shared" si="61"/>
        <v>1.8035978092553452E-2</v>
      </c>
      <c r="J684">
        <f t="shared" si="62"/>
        <v>-2.9466393804588393E-2</v>
      </c>
      <c r="K684">
        <f t="shared" si="63"/>
        <v>-2.9983383756321792E-2</v>
      </c>
      <c r="L684">
        <f t="shared" si="64"/>
        <v>2.9838044302930877E-3</v>
      </c>
      <c r="M684">
        <f t="shared" si="65"/>
        <v>1.587068044717144E-2</v>
      </c>
    </row>
    <row r="685" spans="1:13" x14ac:dyDescent="0.2">
      <c r="A685" s="6">
        <v>44952</v>
      </c>
      <c r="B685" s="7">
        <v>19.3</v>
      </c>
      <c r="C685" s="7">
        <v>107</v>
      </c>
      <c r="D685" s="7">
        <v>185.39</v>
      </c>
      <c r="E685" s="7">
        <v>97.18</v>
      </c>
      <c r="F685" s="7">
        <v>46.28</v>
      </c>
      <c r="G685" s="7">
        <v>293.29000000000002</v>
      </c>
      <c r="H685">
        <f t="shared" si="60"/>
        <v>-2.4566230283726193E-2</v>
      </c>
      <c r="I685">
        <f t="shared" si="61"/>
        <v>2.786117859974864E-2</v>
      </c>
      <c r="J685">
        <f t="shared" si="62"/>
        <v>2.5384151244762111E-3</v>
      </c>
      <c r="K685">
        <f t="shared" si="63"/>
        <v>-2.07746778951458E-2</v>
      </c>
      <c r="L685">
        <f t="shared" si="64"/>
        <v>-1.5224910789248512E-2</v>
      </c>
      <c r="M685">
        <f t="shared" si="65"/>
        <v>-2.1853633331682158E-2</v>
      </c>
    </row>
    <row r="686" spans="1:13" x14ac:dyDescent="0.2">
      <c r="A686" s="6">
        <v>44951</v>
      </c>
      <c r="B686" s="7">
        <v>19.25</v>
      </c>
      <c r="C686" s="7">
        <v>99.74</v>
      </c>
      <c r="D686" s="7">
        <v>187.61</v>
      </c>
      <c r="E686" s="7">
        <v>96.32</v>
      </c>
      <c r="F686" s="7">
        <v>45.57</v>
      </c>
      <c r="G686" s="7">
        <v>292.38</v>
      </c>
      <c r="H686">
        <f t="shared" si="60"/>
        <v>-2.5940351770466466E-3</v>
      </c>
      <c r="I686">
        <f t="shared" si="61"/>
        <v>-7.0262034343929719E-2</v>
      </c>
      <c r="J686">
        <f t="shared" si="62"/>
        <v>1.1903625811018862E-2</v>
      </c>
      <c r="K686">
        <f t="shared" si="63"/>
        <v>-8.888947417246152E-3</v>
      </c>
      <c r="L686">
        <f t="shared" si="64"/>
        <v>-1.5460297049684697E-2</v>
      </c>
      <c r="M686">
        <f t="shared" si="65"/>
        <v>-3.1075545351971446E-3</v>
      </c>
    </row>
    <row r="687" spans="1:13" x14ac:dyDescent="0.2">
      <c r="A687" s="6">
        <v>44950</v>
      </c>
      <c r="B687" s="7">
        <v>19.170000000000002</v>
      </c>
      <c r="C687" s="7">
        <v>98.16</v>
      </c>
      <c r="D687" s="7">
        <v>152.18</v>
      </c>
      <c r="E687" s="7">
        <v>97.52</v>
      </c>
      <c r="F687" s="7">
        <v>45.15</v>
      </c>
      <c r="G687" s="7">
        <v>297.23</v>
      </c>
      <c r="H687">
        <f t="shared" si="60"/>
        <v>-4.1645036762399702E-3</v>
      </c>
      <c r="I687">
        <f t="shared" si="61"/>
        <v>-1.5967999715320466E-2</v>
      </c>
      <c r="J687">
        <f t="shared" si="62"/>
        <v>-0.20930130930714289</v>
      </c>
      <c r="K687">
        <f t="shared" si="63"/>
        <v>1.2381503612505231E-2</v>
      </c>
      <c r="L687">
        <f t="shared" si="64"/>
        <v>-9.259325412796825E-3</v>
      </c>
      <c r="M687">
        <f t="shared" si="65"/>
        <v>1.6451923792334826E-2</v>
      </c>
    </row>
    <row r="688" spans="1:13" x14ac:dyDescent="0.2">
      <c r="A688" s="6">
        <v>44949</v>
      </c>
      <c r="B688" s="7">
        <v>17.82</v>
      </c>
      <c r="C688" s="7">
        <v>96.28</v>
      </c>
      <c r="D688" s="7">
        <v>148.06</v>
      </c>
      <c r="E688" s="7">
        <v>97.25</v>
      </c>
      <c r="F688" s="7">
        <v>45.4</v>
      </c>
      <c r="G688" s="7">
        <v>301.32</v>
      </c>
      <c r="H688">
        <f t="shared" si="60"/>
        <v>-7.30251350148899E-2</v>
      </c>
      <c r="I688">
        <f t="shared" si="61"/>
        <v>-1.9338187487784802E-2</v>
      </c>
      <c r="J688">
        <f t="shared" si="62"/>
        <v>-2.7446433733424445E-2</v>
      </c>
      <c r="K688">
        <f t="shared" si="63"/>
        <v>-2.7725026744603413E-3</v>
      </c>
      <c r="L688">
        <f t="shared" si="64"/>
        <v>5.5218251843079467E-3</v>
      </c>
      <c r="M688">
        <f t="shared" si="65"/>
        <v>1.3666573081689287E-2</v>
      </c>
    </row>
    <row r="689" spans="1:13" x14ac:dyDescent="0.2">
      <c r="A689" s="6">
        <v>44946</v>
      </c>
      <c r="B689" s="7">
        <v>16.75</v>
      </c>
      <c r="C689" s="7">
        <v>98.69</v>
      </c>
      <c r="D689" s="7">
        <v>146.16</v>
      </c>
      <c r="E689" s="7">
        <v>93.68</v>
      </c>
      <c r="F689" s="7">
        <v>45.3</v>
      </c>
      <c r="G689" s="7">
        <v>305.08999999999997</v>
      </c>
      <c r="H689">
        <f t="shared" si="60"/>
        <v>-6.1923163771587818E-2</v>
      </c>
      <c r="I689">
        <f t="shared" si="61"/>
        <v>2.4723011269044637E-2</v>
      </c>
      <c r="J689">
        <f t="shared" si="62"/>
        <v>-1.2915684945201041E-2</v>
      </c>
      <c r="K689">
        <f t="shared" si="63"/>
        <v>-3.7400263209093676E-2</v>
      </c>
      <c r="L689">
        <f t="shared" si="64"/>
        <v>-2.2050725583139812E-3</v>
      </c>
      <c r="M689">
        <f t="shared" si="65"/>
        <v>1.243399208900982E-2</v>
      </c>
    </row>
    <row r="690" spans="1:13" x14ac:dyDescent="0.2">
      <c r="A690" s="6">
        <v>44945</v>
      </c>
      <c r="B690" s="7">
        <v>17.36</v>
      </c>
      <c r="C690" s="7">
        <v>96.85</v>
      </c>
      <c r="D690" s="7">
        <v>150.81</v>
      </c>
      <c r="E690" s="7">
        <v>95.46</v>
      </c>
      <c r="F690" s="7">
        <v>45.63</v>
      </c>
      <c r="G690" s="7">
        <v>307.16000000000003</v>
      </c>
      <c r="H690">
        <f t="shared" si="60"/>
        <v>3.5770450961128582E-2</v>
      </c>
      <c r="I690">
        <f t="shared" si="61"/>
        <v>-1.882023433091096E-2</v>
      </c>
      <c r="J690">
        <f t="shared" si="62"/>
        <v>3.1318854302842376E-2</v>
      </c>
      <c r="K690">
        <f t="shared" si="63"/>
        <v>1.8822592288288354E-2</v>
      </c>
      <c r="L690">
        <f t="shared" si="64"/>
        <v>7.2583624503229013E-3</v>
      </c>
      <c r="M690">
        <f t="shared" si="65"/>
        <v>6.7619694158391544E-3</v>
      </c>
    </row>
    <row r="691" spans="1:13" x14ac:dyDescent="0.2">
      <c r="A691" s="6">
        <v>44944</v>
      </c>
      <c r="B691" s="7">
        <v>17.68</v>
      </c>
      <c r="C691" s="7">
        <v>94.57</v>
      </c>
      <c r="D691" s="7">
        <v>146.4</v>
      </c>
      <c r="E691" s="7">
        <v>96.05</v>
      </c>
      <c r="F691" s="7">
        <v>46.25</v>
      </c>
      <c r="G691" s="7">
        <v>314.83999999999997</v>
      </c>
      <c r="H691">
        <f t="shared" si="60"/>
        <v>1.8265347977293189E-2</v>
      </c>
      <c r="I691">
        <f t="shared" si="61"/>
        <v>-2.3823088825584111E-2</v>
      </c>
      <c r="J691">
        <f t="shared" si="62"/>
        <v>-2.9678164845382396E-2</v>
      </c>
      <c r="K691">
        <f t="shared" si="63"/>
        <v>6.1615776368151897E-3</v>
      </c>
      <c r="L691">
        <f t="shared" si="64"/>
        <v>1.3496069019122968E-2</v>
      </c>
      <c r="M691">
        <f t="shared" si="65"/>
        <v>2.4695788811906528E-2</v>
      </c>
    </row>
    <row r="692" spans="1:13" x14ac:dyDescent="0.2">
      <c r="A692" s="6">
        <v>44943</v>
      </c>
      <c r="B692" s="7">
        <v>16.88</v>
      </c>
      <c r="C692" s="7">
        <v>97.03</v>
      </c>
      <c r="D692" s="7">
        <v>140.63</v>
      </c>
      <c r="E692" s="7">
        <v>98.12</v>
      </c>
      <c r="F692" s="7">
        <v>46.59</v>
      </c>
      <c r="G692" s="7">
        <v>304</v>
      </c>
      <c r="H692">
        <f t="shared" si="60"/>
        <v>-4.6304568041686388E-2</v>
      </c>
      <c r="I692">
        <f t="shared" si="61"/>
        <v>2.5679908009787478E-2</v>
      </c>
      <c r="J692">
        <f t="shared" si="62"/>
        <v>-4.0210273645054938E-2</v>
      </c>
      <c r="K692">
        <f t="shared" si="63"/>
        <v>2.132233017572294E-2</v>
      </c>
      <c r="L692">
        <f t="shared" si="64"/>
        <v>7.3244618702712943E-3</v>
      </c>
      <c r="M692">
        <f t="shared" si="65"/>
        <v>-3.5036871868027571E-2</v>
      </c>
    </row>
    <row r="693" spans="1:13" x14ac:dyDescent="0.2">
      <c r="A693" s="6">
        <v>44939</v>
      </c>
      <c r="B693" s="7">
        <v>16.489999999999998</v>
      </c>
      <c r="C693" s="7">
        <v>99.11</v>
      </c>
      <c r="D693" s="7">
        <v>142.26</v>
      </c>
      <c r="E693" s="7">
        <v>95.27</v>
      </c>
      <c r="F693" s="7">
        <v>46.33</v>
      </c>
      <c r="G693" s="7">
        <v>300.36</v>
      </c>
      <c r="H693">
        <f t="shared" si="60"/>
        <v>-2.3375352596303526E-2</v>
      </c>
      <c r="I693">
        <f t="shared" si="61"/>
        <v>2.1210135381408955E-2</v>
      </c>
      <c r="J693">
        <f t="shared" si="62"/>
        <v>1.1524041423212646E-2</v>
      </c>
      <c r="K693">
        <f t="shared" si="63"/>
        <v>-2.9476253671600585E-2</v>
      </c>
      <c r="L693">
        <f t="shared" si="64"/>
        <v>-5.596226400148523E-3</v>
      </c>
      <c r="M693">
        <f t="shared" si="65"/>
        <v>-1.2045946174538472E-2</v>
      </c>
    </row>
    <row r="694" spans="1:13" x14ac:dyDescent="0.2">
      <c r="A694" s="6">
        <v>44938</v>
      </c>
      <c r="B694" s="7">
        <v>15.98</v>
      </c>
      <c r="C694" s="7">
        <v>97.35</v>
      </c>
      <c r="D694" s="7">
        <v>142.38999999999999</v>
      </c>
      <c r="E694" s="7">
        <v>95.09</v>
      </c>
      <c r="F694" s="7">
        <v>45.77</v>
      </c>
      <c r="G694" s="7">
        <v>291.16000000000003</v>
      </c>
      <c r="H694">
        <f t="shared" si="60"/>
        <v>-3.141619623337881E-2</v>
      </c>
      <c r="I694">
        <f t="shared" si="61"/>
        <v>-1.7917612600408493E-2</v>
      </c>
      <c r="J694">
        <f t="shared" si="62"/>
        <v>9.1340248753415856E-4</v>
      </c>
      <c r="K694">
        <f t="shared" si="63"/>
        <v>-1.8911541673350461E-3</v>
      </c>
      <c r="L694">
        <f t="shared" si="64"/>
        <v>-1.2160844763006218E-2</v>
      </c>
      <c r="M694">
        <f t="shared" si="65"/>
        <v>-3.110881098162592E-2</v>
      </c>
    </row>
    <row r="695" spans="1:13" x14ac:dyDescent="0.2">
      <c r="A695" s="6">
        <v>44937</v>
      </c>
      <c r="B695" s="7">
        <v>15.89</v>
      </c>
      <c r="C695" s="7">
        <v>92.41</v>
      </c>
      <c r="D695" s="7">
        <v>138.52000000000001</v>
      </c>
      <c r="E695" s="7">
        <v>89.87</v>
      </c>
      <c r="F695" s="7">
        <v>46.14</v>
      </c>
      <c r="G695" s="7">
        <v>293.43</v>
      </c>
      <c r="H695">
        <f t="shared" si="60"/>
        <v>-5.6479597895039884E-3</v>
      </c>
      <c r="I695">
        <f t="shared" si="61"/>
        <v>-5.2077533918259609E-2</v>
      </c>
      <c r="J695">
        <f t="shared" si="62"/>
        <v>-2.7555052258681847E-2</v>
      </c>
      <c r="K695">
        <f t="shared" si="63"/>
        <v>-5.6459629881070755E-2</v>
      </c>
      <c r="L695">
        <f t="shared" si="64"/>
        <v>8.0513980800568322E-3</v>
      </c>
      <c r="M695">
        <f t="shared" si="65"/>
        <v>7.7661657204540482E-3</v>
      </c>
    </row>
    <row r="696" spans="1:13" x14ac:dyDescent="0.2">
      <c r="A696" s="6">
        <v>44936</v>
      </c>
      <c r="B696" s="7">
        <v>15.61</v>
      </c>
      <c r="C696" s="7">
        <v>90.5</v>
      </c>
      <c r="D696" s="7">
        <v>135.32</v>
      </c>
      <c r="E696" s="7">
        <v>87.36</v>
      </c>
      <c r="F696" s="7">
        <v>45.79</v>
      </c>
      <c r="G696" s="7">
        <v>290.77</v>
      </c>
      <c r="H696">
        <f t="shared" si="60"/>
        <v>-1.7778246021283944E-2</v>
      </c>
      <c r="I696">
        <f t="shared" si="61"/>
        <v>-2.0885347194068555E-2</v>
      </c>
      <c r="J696">
        <f t="shared" si="62"/>
        <v>-2.337237562171365E-2</v>
      </c>
      <c r="K696">
        <f t="shared" si="63"/>
        <v>-2.8326669673687219E-2</v>
      </c>
      <c r="L696">
        <f t="shared" si="64"/>
        <v>-7.6145260766035949E-3</v>
      </c>
      <c r="M696">
        <f t="shared" si="65"/>
        <v>-9.1065333192685716E-3</v>
      </c>
    </row>
    <row r="697" spans="1:13" x14ac:dyDescent="0.2">
      <c r="A697" s="6">
        <v>44935</v>
      </c>
      <c r="B697" s="7">
        <v>14.84</v>
      </c>
      <c r="C697" s="7">
        <v>90.66</v>
      </c>
      <c r="D697" s="7">
        <v>132.21</v>
      </c>
      <c r="E697" s="7">
        <v>86.08</v>
      </c>
      <c r="F697" s="7">
        <v>45.84</v>
      </c>
      <c r="G697" s="7">
        <v>293.95999999999998</v>
      </c>
      <c r="H697">
        <f t="shared" si="60"/>
        <v>-5.058549678810622E-2</v>
      </c>
      <c r="I697">
        <f t="shared" si="61"/>
        <v>1.7663948068227955E-3</v>
      </c>
      <c r="J697">
        <f t="shared" si="62"/>
        <v>-2.3250776390502343E-2</v>
      </c>
      <c r="K697">
        <f t="shared" si="63"/>
        <v>-1.4760415583120686E-2</v>
      </c>
      <c r="L697">
        <f t="shared" si="64"/>
        <v>1.0913457374801849E-3</v>
      </c>
      <c r="M697">
        <f t="shared" si="65"/>
        <v>1.0911127009427726E-2</v>
      </c>
    </row>
    <row r="698" spans="1:13" x14ac:dyDescent="0.2">
      <c r="A698" s="6">
        <v>44932</v>
      </c>
      <c r="B698" s="7">
        <v>14.25</v>
      </c>
      <c r="C698" s="7">
        <v>91.49</v>
      </c>
      <c r="D698" s="7">
        <v>134.53</v>
      </c>
      <c r="E698" s="7">
        <v>83.12</v>
      </c>
      <c r="F698" s="7">
        <v>46.05</v>
      </c>
      <c r="G698" s="7">
        <v>294.36</v>
      </c>
      <c r="H698">
        <f t="shared" si="60"/>
        <v>-4.0569331024574856E-2</v>
      </c>
      <c r="I698">
        <f t="shared" si="61"/>
        <v>9.1134311787405935E-3</v>
      </c>
      <c r="J698">
        <f t="shared" si="62"/>
        <v>1.7395654975446109E-2</v>
      </c>
      <c r="K698">
        <f t="shared" si="63"/>
        <v>-3.4991749622502302E-2</v>
      </c>
      <c r="L698">
        <f t="shared" si="64"/>
        <v>4.5706902948315451E-3</v>
      </c>
      <c r="M698">
        <f t="shared" si="65"/>
        <v>1.3598043977277828E-3</v>
      </c>
    </row>
    <row r="699" spans="1:13" x14ac:dyDescent="0.2">
      <c r="A699" s="6">
        <v>44931</v>
      </c>
      <c r="B699" s="7">
        <v>14.73</v>
      </c>
      <c r="C699" s="7">
        <v>90.51</v>
      </c>
      <c r="D699" s="7">
        <v>136.13999999999999</v>
      </c>
      <c r="E699" s="7">
        <v>85.14</v>
      </c>
      <c r="F699" s="7">
        <v>45.93</v>
      </c>
      <c r="G699" s="7">
        <v>292.31</v>
      </c>
      <c r="H699">
        <f t="shared" si="60"/>
        <v>3.3129323759879342E-2</v>
      </c>
      <c r="I699">
        <f t="shared" si="61"/>
        <v>-1.0769334852364393E-2</v>
      </c>
      <c r="J699">
        <f t="shared" si="62"/>
        <v>1.1896545522353691E-2</v>
      </c>
      <c r="K699">
        <f t="shared" si="63"/>
        <v>2.4011613609034334E-2</v>
      </c>
      <c r="L699">
        <f t="shared" si="64"/>
        <v>-2.6092643636137307E-3</v>
      </c>
      <c r="M699">
        <f t="shared" si="65"/>
        <v>-6.9886250997790618E-3</v>
      </c>
    </row>
    <row r="700" spans="1:13" x14ac:dyDescent="0.2">
      <c r="A700" s="6">
        <v>44930</v>
      </c>
      <c r="B700" s="7">
        <v>14.3</v>
      </c>
      <c r="C700" s="7">
        <v>90.89</v>
      </c>
      <c r="D700" s="7">
        <v>135.87</v>
      </c>
      <c r="E700" s="7">
        <v>85.82</v>
      </c>
      <c r="F700" s="7">
        <v>45.26</v>
      </c>
      <c r="G700" s="7">
        <v>291.87</v>
      </c>
      <c r="H700">
        <f t="shared" si="60"/>
        <v>-2.9626693208677248E-2</v>
      </c>
      <c r="I700">
        <f t="shared" si="61"/>
        <v>4.1896422915995825E-3</v>
      </c>
      <c r="J700">
        <f t="shared" si="62"/>
        <v>-1.9852217835730282E-3</v>
      </c>
      <c r="K700">
        <f t="shared" si="63"/>
        <v>7.9551191633721752E-3</v>
      </c>
      <c r="L700">
        <f t="shared" si="64"/>
        <v>-1.469485813231077E-2</v>
      </c>
      <c r="M700">
        <f t="shared" si="65"/>
        <v>-1.5063853031731941E-3</v>
      </c>
    </row>
    <row r="701" spans="1:13" x14ac:dyDescent="0.2">
      <c r="A701" s="6">
        <v>44929</v>
      </c>
      <c r="B701" s="7">
        <v>14.6</v>
      </c>
      <c r="C701" s="7">
        <v>87.81</v>
      </c>
      <c r="D701" s="7">
        <v>132.08000000000001</v>
      </c>
      <c r="E701" s="7">
        <v>84</v>
      </c>
      <c r="F701" s="7">
        <v>44.71</v>
      </c>
      <c r="G701" s="7">
        <v>288.05</v>
      </c>
      <c r="H701">
        <f t="shared" si="60"/>
        <v>2.0761991448429006E-2</v>
      </c>
      <c r="I701">
        <f t="shared" si="61"/>
        <v>-3.4474594758774776E-2</v>
      </c>
      <c r="J701">
        <f t="shared" si="62"/>
        <v>-2.829074662435957E-2</v>
      </c>
      <c r="K701">
        <f t="shared" si="63"/>
        <v>-2.1435280720064918E-2</v>
      </c>
      <c r="L701">
        <f t="shared" si="64"/>
        <v>-1.2226449959502041E-2</v>
      </c>
      <c r="M701">
        <f t="shared" si="65"/>
        <v>-1.3174421477053836E-2</v>
      </c>
    </row>
    <row r="702" spans="1:13" x14ac:dyDescent="0.2">
      <c r="A702" s="6">
        <v>44925</v>
      </c>
      <c r="B702" s="7">
        <v>14.59</v>
      </c>
      <c r="C702" s="7">
        <v>87.42</v>
      </c>
      <c r="D702" s="7">
        <v>132.18</v>
      </c>
      <c r="E702" s="7">
        <v>84.18</v>
      </c>
      <c r="F702" s="7">
        <v>45.35</v>
      </c>
      <c r="G702" s="7">
        <v>299.92</v>
      </c>
      <c r="H702">
        <f t="shared" si="60"/>
        <v>-6.8516617959650148E-4</v>
      </c>
      <c r="I702">
        <f t="shared" si="61"/>
        <v>-4.4512999367357165E-3</v>
      </c>
      <c r="J702">
        <f t="shared" si="62"/>
        <v>7.5683043043416856E-4</v>
      </c>
      <c r="K702">
        <f t="shared" si="63"/>
        <v>2.1405644991110378E-3</v>
      </c>
      <c r="L702">
        <f t="shared" si="64"/>
        <v>1.4212986315256325E-2</v>
      </c>
      <c r="M702">
        <f t="shared" si="65"/>
        <v>4.0381696249264527E-2</v>
      </c>
    </row>
    <row r="703" spans="1:13" x14ac:dyDescent="0.2">
      <c r="A703" s="6">
        <v>44924</v>
      </c>
      <c r="B703" s="7">
        <v>14.02</v>
      </c>
      <c r="C703" s="7">
        <v>86.74</v>
      </c>
      <c r="D703" s="7">
        <v>128.68</v>
      </c>
      <c r="E703" s="7">
        <v>81.819999999999993</v>
      </c>
      <c r="F703" s="7">
        <v>46.5</v>
      </c>
      <c r="G703" s="7">
        <v>303.48</v>
      </c>
      <c r="H703">
        <f t="shared" si="60"/>
        <v>-3.9851480928250305E-2</v>
      </c>
      <c r="I703">
        <f t="shared" si="61"/>
        <v>-7.8089510279483717E-3</v>
      </c>
      <c r="J703">
        <f t="shared" si="62"/>
        <v>-2.6835927671481186E-2</v>
      </c>
      <c r="K703">
        <f t="shared" si="63"/>
        <v>-2.8435650841172222E-2</v>
      </c>
      <c r="L703">
        <f t="shared" si="64"/>
        <v>2.504213603216492E-2</v>
      </c>
      <c r="M703">
        <f t="shared" si="65"/>
        <v>1.1799938042217437E-2</v>
      </c>
    </row>
    <row r="704" spans="1:13" x14ac:dyDescent="0.2">
      <c r="A704" s="6">
        <v>44923</v>
      </c>
      <c r="B704" s="7">
        <v>14.11</v>
      </c>
      <c r="C704" s="7">
        <v>85.61</v>
      </c>
      <c r="D704" s="7">
        <v>129.22</v>
      </c>
      <c r="E704" s="7">
        <v>83.04</v>
      </c>
      <c r="F704" s="7">
        <v>46.79</v>
      </c>
      <c r="G704" s="7">
        <v>306.89</v>
      </c>
      <c r="H704">
        <f t="shared" si="60"/>
        <v>6.3988842582786767E-3</v>
      </c>
      <c r="I704">
        <f t="shared" si="61"/>
        <v>-1.311303965282583E-2</v>
      </c>
      <c r="J704">
        <f t="shared" si="62"/>
        <v>4.1876757591937158E-3</v>
      </c>
      <c r="K704">
        <f t="shared" si="63"/>
        <v>1.4800706916326196E-2</v>
      </c>
      <c r="L704">
        <f t="shared" si="64"/>
        <v>6.2171922848141712E-3</v>
      </c>
      <c r="M704">
        <f t="shared" si="65"/>
        <v>1.1173666721397834E-2</v>
      </c>
    </row>
    <row r="705" spans="1:13" x14ac:dyDescent="0.2">
      <c r="A705" s="6">
        <v>44922</v>
      </c>
      <c r="B705" s="7">
        <v>15.19</v>
      </c>
      <c r="C705" s="7">
        <v>87.48</v>
      </c>
      <c r="D705" s="7">
        <v>126.16</v>
      </c>
      <c r="E705" s="7">
        <v>85.25</v>
      </c>
      <c r="F705" s="7">
        <v>46.63</v>
      </c>
      <c r="G705" s="7">
        <v>305.64999999999998</v>
      </c>
      <c r="H705">
        <f t="shared" si="60"/>
        <v>7.3753550742958848E-2</v>
      </c>
      <c r="I705">
        <f t="shared" si="61"/>
        <v>2.1608097054172836E-2</v>
      </c>
      <c r="J705">
        <f t="shared" si="62"/>
        <v>-2.3965435475236507E-2</v>
      </c>
      <c r="K705">
        <f t="shared" si="63"/>
        <v>2.6265696746047642E-2</v>
      </c>
      <c r="L705">
        <f t="shared" si="64"/>
        <v>-3.4253940578953747E-3</v>
      </c>
      <c r="M705">
        <f t="shared" si="65"/>
        <v>-4.0487207165375311E-3</v>
      </c>
    </row>
    <row r="706" spans="1:13" x14ac:dyDescent="0.2">
      <c r="A706" s="6">
        <v>44918</v>
      </c>
      <c r="B706" s="7">
        <v>15.32</v>
      </c>
      <c r="C706" s="7">
        <v>88.51</v>
      </c>
      <c r="D706" s="7">
        <v>126.59</v>
      </c>
      <c r="E706" s="7">
        <v>83.79</v>
      </c>
      <c r="F706" s="7">
        <v>47.06</v>
      </c>
      <c r="G706" s="7">
        <v>304.83999999999997</v>
      </c>
      <c r="H706">
        <f t="shared" si="60"/>
        <v>8.5218477047638262E-3</v>
      </c>
      <c r="I706">
        <f t="shared" si="61"/>
        <v>1.1705344172218591E-2</v>
      </c>
      <c r="J706">
        <f t="shared" si="62"/>
        <v>3.4025749939540092E-3</v>
      </c>
      <c r="K706">
        <f t="shared" si="63"/>
        <v>-1.7274447538431052E-2</v>
      </c>
      <c r="L706">
        <f t="shared" si="64"/>
        <v>9.1792724789868992E-3</v>
      </c>
      <c r="M706">
        <f t="shared" si="65"/>
        <v>-2.6536076768176931E-3</v>
      </c>
    </row>
    <row r="707" spans="1:13" x14ac:dyDescent="0.2">
      <c r="A707" s="6">
        <v>44917</v>
      </c>
      <c r="B707" s="7">
        <v>16.48</v>
      </c>
      <c r="C707" s="7">
        <v>87.63</v>
      </c>
      <c r="D707" s="7">
        <v>123.98</v>
      </c>
      <c r="E707" s="7">
        <v>86.77</v>
      </c>
      <c r="F707" s="7">
        <v>46.65</v>
      </c>
      <c r="G707" s="7">
        <v>297.08</v>
      </c>
      <c r="H707">
        <f t="shared" si="60"/>
        <v>7.298836016888044E-2</v>
      </c>
      <c r="I707">
        <f t="shared" si="61"/>
        <v>-9.9921349130263487E-3</v>
      </c>
      <c r="J707">
        <f t="shared" si="62"/>
        <v>-2.0833255374963566E-2</v>
      </c>
      <c r="K707">
        <f t="shared" si="63"/>
        <v>3.4947271180203174E-2</v>
      </c>
      <c r="L707">
        <f t="shared" si="64"/>
        <v>-8.7504560058637038E-3</v>
      </c>
      <c r="M707">
        <f t="shared" si="65"/>
        <v>-2.5785585996820987E-2</v>
      </c>
    </row>
    <row r="708" spans="1:13" x14ac:dyDescent="0.2">
      <c r="A708" s="6">
        <v>44916</v>
      </c>
      <c r="B708" s="7">
        <v>16.07</v>
      </c>
      <c r="C708" s="7">
        <v>87.84</v>
      </c>
      <c r="D708" s="7">
        <v>119.6</v>
      </c>
      <c r="E708" s="7">
        <v>85.19</v>
      </c>
      <c r="F708" s="7">
        <v>46.68</v>
      </c>
      <c r="G708" s="7">
        <v>294.47000000000003</v>
      </c>
      <c r="H708">
        <f t="shared" ref="H708:H771" si="66">LN(B708/B707)</f>
        <v>-2.5193344731904384E-2</v>
      </c>
      <c r="I708">
        <f t="shared" ref="I708:I771" si="67">LN(C708/C707)</f>
        <v>2.3935726934612195E-3</v>
      </c>
      <c r="J708">
        <f t="shared" ref="J708:J771" si="68">LN(D708/D707)</f>
        <v>-3.5967420757242088E-2</v>
      </c>
      <c r="K708">
        <f t="shared" ref="K708:K771" si="69">LN(E708/E707)</f>
        <v>-1.8376883750649213E-2</v>
      </c>
      <c r="L708">
        <f t="shared" ref="L708:L771" si="70">LN(F708/F707)</f>
        <v>6.4288012500235208E-4</v>
      </c>
      <c r="M708">
        <f t="shared" ref="M708:M771" si="71">LN(G708/G707)</f>
        <v>-8.8243324704638231E-3</v>
      </c>
    </row>
    <row r="709" spans="1:13" x14ac:dyDescent="0.2">
      <c r="A709" s="6">
        <v>44915</v>
      </c>
      <c r="B709" s="7">
        <v>16.239999999999998</v>
      </c>
      <c r="C709" s="7">
        <v>85.43</v>
      </c>
      <c r="D709" s="7">
        <v>119.52</v>
      </c>
      <c r="E709" s="7">
        <v>84.92</v>
      </c>
      <c r="F709" s="7">
        <v>47.27</v>
      </c>
      <c r="G709" s="7">
        <v>294.20999999999998</v>
      </c>
      <c r="H709">
        <f t="shared" si="66"/>
        <v>1.0523154984110538E-2</v>
      </c>
      <c r="I709">
        <f t="shared" si="67"/>
        <v>-2.781965059769316E-2</v>
      </c>
      <c r="J709">
        <f t="shared" si="68"/>
        <v>-6.6912013202420758E-4</v>
      </c>
      <c r="K709">
        <f t="shared" si="69"/>
        <v>-3.1744192196937557E-3</v>
      </c>
      <c r="L709">
        <f t="shared" si="70"/>
        <v>1.2560037386789817E-2</v>
      </c>
      <c r="M709">
        <f t="shared" si="71"/>
        <v>-8.8333225829318037E-4</v>
      </c>
    </row>
    <row r="710" spans="1:13" x14ac:dyDescent="0.2">
      <c r="A710" s="6">
        <v>44914</v>
      </c>
      <c r="B710" s="7">
        <v>16.55</v>
      </c>
      <c r="C710" s="7">
        <v>86.79</v>
      </c>
      <c r="D710" s="7">
        <v>114.91</v>
      </c>
      <c r="E710" s="7">
        <v>87.86</v>
      </c>
      <c r="F710" s="7">
        <v>46.14</v>
      </c>
      <c r="G710" s="7">
        <v>292.3</v>
      </c>
      <c r="H710">
        <f t="shared" si="66"/>
        <v>1.8908767089540195E-2</v>
      </c>
      <c r="I710">
        <f t="shared" si="67"/>
        <v>1.5794080492626209E-2</v>
      </c>
      <c r="J710">
        <f t="shared" si="68"/>
        <v>-3.9334508114964861E-2</v>
      </c>
      <c r="K710">
        <f t="shared" si="69"/>
        <v>3.4035001712578221E-2</v>
      </c>
      <c r="L710">
        <f t="shared" si="70"/>
        <v>-2.4195592059537464E-2</v>
      </c>
      <c r="M710">
        <f t="shared" si="71"/>
        <v>-6.5131259551383181E-3</v>
      </c>
    </row>
    <row r="711" spans="1:13" x14ac:dyDescent="0.2">
      <c r="A711" s="6">
        <v>44911</v>
      </c>
      <c r="B711" s="7">
        <v>16.940000000000001</v>
      </c>
      <c r="C711" s="7">
        <v>88.62</v>
      </c>
      <c r="D711" s="7">
        <v>116.16</v>
      </c>
      <c r="E711" s="7">
        <v>88.45</v>
      </c>
      <c r="F711" s="7">
        <v>46.29</v>
      </c>
      <c r="G711" s="7">
        <v>296.25</v>
      </c>
      <c r="H711">
        <f t="shared" si="66"/>
        <v>2.3291587400836387E-2</v>
      </c>
      <c r="I711">
        <f t="shared" si="67"/>
        <v>2.0866158115189905E-2</v>
      </c>
      <c r="J711">
        <f t="shared" si="68"/>
        <v>1.081933780694354E-2</v>
      </c>
      <c r="K711">
        <f t="shared" si="69"/>
        <v>6.6927820581608333E-3</v>
      </c>
      <c r="L711">
        <f t="shared" si="70"/>
        <v>3.2457022975715556E-3</v>
      </c>
      <c r="M711">
        <f t="shared" si="71"/>
        <v>1.342302033214055E-2</v>
      </c>
    </row>
    <row r="712" spans="1:13" x14ac:dyDescent="0.2">
      <c r="A712" s="6">
        <v>44910</v>
      </c>
      <c r="B712" s="7">
        <v>17.66</v>
      </c>
      <c r="C712" s="7">
        <v>87.16</v>
      </c>
      <c r="D712" s="7">
        <v>117.32</v>
      </c>
      <c r="E712" s="7">
        <v>91.58</v>
      </c>
      <c r="F712" s="7">
        <v>46.24</v>
      </c>
      <c r="G712" s="7">
        <v>292.70999999999998</v>
      </c>
      <c r="H712">
        <f t="shared" si="66"/>
        <v>4.1624505951905574E-2</v>
      </c>
      <c r="I712">
        <f t="shared" si="67"/>
        <v>-1.6612055694924421E-2</v>
      </c>
      <c r="J712">
        <f t="shared" si="68"/>
        <v>9.9366930327642496E-3</v>
      </c>
      <c r="K712">
        <f t="shared" si="69"/>
        <v>3.477548662315514E-2</v>
      </c>
      <c r="L712">
        <f t="shared" si="70"/>
        <v>-1.0807306790571092E-3</v>
      </c>
      <c r="M712">
        <f t="shared" si="71"/>
        <v>-1.2021334661372599E-2</v>
      </c>
    </row>
    <row r="713" spans="1:13" x14ac:dyDescent="0.2">
      <c r="A713" s="6">
        <v>44909</v>
      </c>
      <c r="B713" s="7">
        <v>18.05</v>
      </c>
      <c r="C713" s="7">
        <v>88.97</v>
      </c>
      <c r="D713" s="7">
        <v>116.4</v>
      </c>
      <c r="E713" s="7">
        <v>92.49</v>
      </c>
      <c r="F713" s="7">
        <v>45.66</v>
      </c>
      <c r="G713" s="7">
        <v>292.66000000000003</v>
      </c>
      <c r="H713">
        <f t="shared" si="66"/>
        <v>2.1843489603076086E-2</v>
      </c>
      <c r="I713">
        <f t="shared" si="67"/>
        <v>2.055372418025685E-2</v>
      </c>
      <c r="J713">
        <f t="shared" si="68"/>
        <v>-7.8727088119127306E-3</v>
      </c>
      <c r="K713">
        <f t="shared" si="69"/>
        <v>9.8876233372191466E-3</v>
      </c>
      <c r="L713">
        <f t="shared" si="70"/>
        <v>-1.2622583262472727E-2</v>
      </c>
      <c r="M713">
        <f t="shared" si="71"/>
        <v>-1.7083212368778115E-4</v>
      </c>
    </row>
    <row r="714" spans="1:13" x14ac:dyDescent="0.2">
      <c r="A714" s="6">
        <v>44908</v>
      </c>
      <c r="B714" s="7">
        <v>17.52</v>
      </c>
      <c r="C714" s="7">
        <v>88.41</v>
      </c>
      <c r="D714" s="7">
        <v>119.03</v>
      </c>
      <c r="E714" s="7">
        <v>90.55</v>
      </c>
      <c r="F714" s="7">
        <v>45.77</v>
      </c>
      <c r="G714" s="7">
        <v>296.88</v>
      </c>
      <c r="H714">
        <f t="shared" si="66"/>
        <v>-2.9802599270644645E-2</v>
      </c>
      <c r="I714">
        <f t="shared" si="67"/>
        <v>-6.3141488389629897E-3</v>
      </c>
      <c r="J714">
        <f t="shared" si="68"/>
        <v>2.2343026882450878E-2</v>
      </c>
      <c r="K714">
        <f t="shared" si="69"/>
        <v>-2.1198346236746317E-2</v>
      </c>
      <c r="L714">
        <f t="shared" si="70"/>
        <v>2.4062135639013522E-3</v>
      </c>
      <c r="M714">
        <f t="shared" si="71"/>
        <v>1.4316491088061569E-2</v>
      </c>
    </row>
    <row r="715" spans="1:13" x14ac:dyDescent="0.2">
      <c r="A715" s="6">
        <v>44907</v>
      </c>
      <c r="B715" s="7">
        <v>16.98</v>
      </c>
      <c r="C715" s="7">
        <v>87.83</v>
      </c>
      <c r="D715" s="7">
        <v>116.37</v>
      </c>
      <c r="E715" s="7">
        <v>89.09</v>
      </c>
      <c r="F715" s="7">
        <v>45.5</v>
      </c>
      <c r="G715" s="7">
        <v>292.54000000000002</v>
      </c>
      <c r="H715">
        <f t="shared" si="66"/>
        <v>-3.130690462504402E-2</v>
      </c>
      <c r="I715">
        <f t="shared" si="67"/>
        <v>-6.581957488687013E-3</v>
      </c>
      <c r="J715">
        <f t="shared" si="68"/>
        <v>-2.2600792059802862E-2</v>
      </c>
      <c r="K715">
        <f t="shared" si="69"/>
        <v>-1.6255089596869866E-2</v>
      </c>
      <c r="L715">
        <f t="shared" si="70"/>
        <v>-5.9165287086460653E-3</v>
      </c>
      <c r="M715">
        <f t="shared" si="71"/>
        <v>-1.4726607293399786E-2</v>
      </c>
    </row>
    <row r="716" spans="1:13" x14ac:dyDescent="0.2">
      <c r="A716" s="6">
        <v>44904</v>
      </c>
      <c r="B716" s="7">
        <v>17.149999999999999</v>
      </c>
      <c r="C716" s="7">
        <v>89.64</v>
      </c>
      <c r="D716" s="7">
        <v>113.78</v>
      </c>
      <c r="E716" s="7">
        <v>90.35</v>
      </c>
      <c r="F716" s="7">
        <v>46.31</v>
      </c>
      <c r="G716" s="7">
        <v>296.08</v>
      </c>
      <c r="H716">
        <f t="shared" si="66"/>
        <v>9.9619927287475148E-3</v>
      </c>
      <c r="I716">
        <f t="shared" si="67"/>
        <v>2.0398521003700185E-2</v>
      </c>
      <c r="J716">
        <f t="shared" si="68"/>
        <v>-2.250801079748424E-2</v>
      </c>
      <c r="K716">
        <f t="shared" si="69"/>
        <v>1.4043922305685082E-2</v>
      </c>
      <c r="L716">
        <f t="shared" si="70"/>
        <v>1.7645594535755888E-2</v>
      </c>
      <c r="M716">
        <f t="shared" si="71"/>
        <v>1.2028278618958129E-2</v>
      </c>
    </row>
    <row r="717" spans="1:13" x14ac:dyDescent="0.2">
      <c r="A717" s="6">
        <v>44903</v>
      </c>
      <c r="B717" s="7">
        <v>16.100000000000001</v>
      </c>
      <c r="C717" s="7">
        <v>90.24</v>
      </c>
      <c r="D717" s="7">
        <v>118.7</v>
      </c>
      <c r="E717" s="7">
        <v>88.46</v>
      </c>
      <c r="F717" s="7">
        <v>46.3</v>
      </c>
      <c r="G717" s="7">
        <v>295.32</v>
      </c>
      <c r="H717">
        <f t="shared" si="66"/>
        <v>-6.3178901621531447E-2</v>
      </c>
      <c r="I717">
        <f t="shared" si="67"/>
        <v>6.6711388170223804E-3</v>
      </c>
      <c r="J717">
        <f t="shared" si="68"/>
        <v>4.2332542293121056E-2</v>
      </c>
      <c r="K717">
        <f t="shared" si="69"/>
        <v>-2.1140544598056751E-2</v>
      </c>
      <c r="L717">
        <f t="shared" si="70"/>
        <v>-2.1595940047233552E-4</v>
      </c>
      <c r="M717">
        <f t="shared" si="71"/>
        <v>-2.5701738869356771E-3</v>
      </c>
    </row>
    <row r="718" spans="1:13" x14ac:dyDescent="0.2">
      <c r="A718" s="6">
        <v>44902</v>
      </c>
      <c r="B718" s="7">
        <v>15.97</v>
      </c>
      <c r="C718" s="7">
        <v>94.42</v>
      </c>
      <c r="D718" s="7">
        <v>115.44</v>
      </c>
      <c r="E718" s="7">
        <v>88.25</v>
      </c>
      <c r="F718" s="7">
        <v>46.2</v>
      </c>
      <c r="G718" s="7">
        <v>292.91000000000003</v>
      </c>
      <c r="H718">
        <f t="shared" si="66"/>
        <v>-8.1073097634962957E-3</v>
      </c>
      <c r="I718">
        <f t="shared" si="67"/>
        <v>4.5280127368391924E-2</v>
      </c>
      <c r="J718">
        <f t="shared" si="68"/>
        <v>-2.7848387150006929E-2</v>
      </c>
      <c r="K718">
        <f t="shared" si="69"/>
        <v>-2.3767766267745296E-3</v>
      </c>
      <c r="L718">
        <f t="shared" si="70"/>
        <v>-2.1621630044951256E-3</v>
      </c>
      <c r="M718">
        <f t="shared" si="71"/>
        <v>-8.1941195949103984E-3</v>
      </c>
    </row>
    <row r="719" spans="1:13" x14ac:dyDescent="0.2">
      <c r="A719" s="6">
        <v>44901</v>
      </c>
      <c r="B719" s="7">
        <v>16.59</v>
      </c>
      <c r="C719" s="7">
        <v>94.97</v>
      </c>
      <c r="D719" s="7">
        <v>120.85</v>
      </c>
      <c r="E719" s="7">
        <v>91.01</v>
      </c>
      <c r="F719" s="7">
        <v>46.75</v>
      </c>
      <c r="G719" s="7">
        <v>295.91000000000003</v>
      </c>
      <c r="H719">
        <f t="shared" si="66"/>
        <v>3.8088141975432019E-2</v>
      </c>
      <c r="I719">
        <f t="shared" si="67"/>
        <v>5.8081371367203812E-3</v>
      </c>
      <c r="J719">
        <f t="shared" si="68"/>
        <v>4.5799192683876527E-2</v>
      </c>
      <c r="K719">
        <f t="shared" si="69"/>
        <v>3.0795694775858317E-2</v>
      </c>
      <c r="L719">
        <f t="shared" si="70"/>
        <v>1.1834457647002798E-2</v>
      </c>
      <c r="M719">
        <f t="shared" si="71"/>
        <v>1.0189959440146079E-2</v>
      </c>
    </row>
    <row r="720" spans="1:13" x14ac:dyDescent="0.2">
      <c r="A720" s="6">
        <v>44900</v>
      </c>
      <c r="B720" s="7">
        <v>16.86</v>
      </c>
      <c r="C720" s="7">
        <v>92.67</v>
      </c>
      <c r="D720" s="7">
        <v>119.41</v>
      </c>
      <c r="E720" s="7">
        <v>94.13</v>
      </c>
      <c r="F720" s="7">
        <v>46.39</v>
      </c>
      <c r="G720" s="7">
        <v>291.72000000000003</v>
      </c>
      <c r="H720">
        <f t="shared" si="66"/>
        <v>1.6143848371356205E-2</v>
      </c>
      <c r="I720">
        <f t="shared" si="67"/>
        <v>-2.4516256656261032E-2</v>
      </c>
      <c r="J720">
        <f t="shared" si="68"/>
        <v>-1.1987157604198691E-2</v>
      </c>
      <c r="K720">
        <f t="shared" si="69"/>
        <v>3.3707414969864326E-2</v>
      </c>
      <c r="L720">
        <f t="shared" si="70"/>
        <v>-7.7303369710436899E-3</v>
      </c>
      <c r="M720">
        <f t="shared" si="71"/>
        <v>-1.426091592016818E-2</v>
      </c>
    </row>
    <row r="721" spans="1:13" x14ac:dyDescent="0.2">
      <c r="A721" s="6">
        <v>44897</v>
      </c>
      <c r="B721" s="7">
        <v>17.12</v>
      </c>
      <c r="C721" s="7">
        <v>92.19</v>
      </c>
      <c r="D721" s="7">
        <v>114.01</v>
      </c>
      <c r="E721" s="7">
        <v>95.5</v>
      </c>
      <c r="F721" s="7">
        <v>45.98</v>
      </c>
      <c r="G721" s="7">
        <v>294.02999999999997</v>
      </c>
      <c r="H721">
        <f t="shared" si="66"/>
        <v>1.5303418139886706E-2</v>
      </c>
      <c r="I721">
        <f t="shared" si="67"/>
        <v>-5.1931307880971065E-3</v>
      </c>
      <c r="J721">
        <f t="shared" si="68"/>
        <v>-4.6276785699664751E-2</v>
      </c>
      <c r="K721">
        <f t="shared" si="69"/>
        <v>1.4449441927555828E-2</v>
      </c>
      <c r="L721">
        <f t="shared" si="70"/>
        <v>-8.8773994286169156E-3</v>
      </c>
      <c r="M721">
        <f t="shared" si="71"/>
        <v>7.8873648331656259E-3</v>
      </c>
    </row>
    <row r="722" spans="1:13" x14ac:dyDescent="0.2">
      <c r="A722" s="6">
        <v>44895</v>
      </c>
      <c r="B722" s="7">
        <v>16.91</v>
      </c>
      <c r="C722" s="7">
        <v>93.07</v>
      </c>
      <c r="D722" s="7">
        <v>115.19</v>
      </c>
      <c r="E722" s="7">
        <v>96.54</v>
      </c>
      <c r="F722" s="7">
        <v>45.97</v>
      </c>
      <c r="G722" s="7">
        <v>299.60000000000002</v>
      </c>
      <c r="H722">
        <f t="shared" si="66"/>
        <v>-1.2342207803107122E-2</v>
      </c>
      <c r="I722">
        <f t="shared" si="67"/>
        <v>9.5002333871161432E-3</v>
      </c>
      <c r="J722">
        <f t="shared" si="68"/>
        <v>1.0296775092786448E-2</v>
      </c>
      <c r="K722">
        <f t="shared" si="69"/>
        <v>1.0831182745662254E-2</v>
      </c>
      <c r="L722">
        <f t="shared" si="70"/>
        <v>-2.1750951689884104E-4</v>
      </c>
      <c r="M722">
        <f t="shared" si="71"/>
        <v>1.8766448693866438E-2</v>
      </c>
    </row>
    <row r="723" spans="1:13" x14ac:dyDescent="0.2">
      <c r="A723" s="6">
        <v>44895</v>
      </c>
      <c r="B723" s="7">
        <v>15.62</v>
      </c>
      <c r="C723" s="7">
        <v>94.29</v>
      </c>
      <c r="D723" s="7">
        <v>114.62</v>
      </c>
      <c r="E723" s="7">
        <v>92.42</v>
      </c>
      <c r="F723" s="7">
        <v>46.81</v>
      </c>
      <c r="G723" s="7">
        <v>303.54000000000002</v>
      </c>
      <c r="H723">
        <f t="shared" si="66"/>
        <v>-7.9353018498949129E-2</v>
      </c>
      <c r="I723">
        <f t="shared" si="67"/>
        <v>1.3023241279966949E-2</v>
      </c>
      <c r="J723">
        <f t="shared" si="68"/>
        <v>-4.9606298148235283E-3</v>
      </c>
      <c r="K723">
        <f t="shared" si="69"/>
        <v>-4.3614024790226566E-2</v>
      </c>
      <c r="L723">
        <f t="shared" si="70"/>
        <v>1.8107845493842659E-2</v>
      </c>
      <c r="M723">
        <f t="shared" si="71"/>
        <v>1.306514588883536E-2</v>
      </c>
    </row>
    <row r="724" spans="1:13" x14ac:dyDescent="0.2">
      <c r="A724" s="6">
        <v>44894</v>
      </c>
      <c r="B724" s="7">
        <v>15.81</v>
      </c>
      <c r="C724" s="7">
        <v>96.32</v>
      </c>
      <c r="D724" s="7">
        <v>113.23</v>
      </c>
      <c r="E724" s="7">
        <v>93.95</v>
      </c>
      <c r="F724" s="7">
        <v>47.23</v>
      </c>
      <c r="G724" s="7">
        <v>308.94</v>
      </c>
      <c r="H724">
        <f t="shared" si="66"/>
        <v>1.2090506809840846E-2</v>
      </c>
      <c r="I724">
        <f t="shared" si="67"/>
        <v>2.13008420829249E-2</v>
      </c>
      <c r="J724">
        <f t="shared" si="68"/>
        <v>-1.2201160797643213E-2</v>
      </c>
      <c r="K724">
        <f t="shared" si="69"/>
        <v>1.6419320417354048E-2</v>
      </c>
      <c r="L724">
        <f t="shared" si="70"/>
        <v>8.9324285960465048E-3</v>
      </c>
      <c r="M724">
        <f t="shared" si="71"/>
        <v>1.7633685754205295E-2</v>
      </c>
    </row>
    <row r="725" spans="1:13" x14ac:dyDescent="0.2">
      <c r="A725" s="6">
        <v>44893</v>
      </c>
      <c r="B725" s="7">
        <v>16.25</v>
      </c>
      <c r="C725" s="7">
        <v>98.8</v>
      </c>
      <c r="D725" s="7">
        <v>113.42</v>
      </c>
      <c r="E725" s="7">
        <v>93.41</v>
      </c>
      <c r="F725" s="7">
        <v>47.49</v>
      </c>
      <c r="G725" s="7">
        <v>308.44</v>
      </c>
      <c r="H725">
        <f t="shared" si="66"/>
        <v>2.7450257554365844E-2</v>
      </c>
      <c r="I725">
        <f t="shared" si="67"/>
        <v>2.5421623193311361E-2</v>
      </c>
      <c r="J725">
        <f t="shared" si="68"/>
        <v>1.676594259933744E-3</v>
      </c>
      <c r="K725">
        <f t="shared" si="69"/>
        <v>-5.7643199747170661E-3</v>
      </c>
      <c r="L725">
        <f t="shared" si="70"/>
        <v>5.4898786530049332E-3</v>
      </c>
      <c r="M725">
        <f t="shared" si="71"/>
        <v>-1.6197483213451032E-3</v>
      </c>
    </row>
    <row r="726" spans="1:13" x14ac:dyDescent="0.2">
      <c r="A726" s="6">
        <v>44890</v>
      </c>
      <c r="B726" s="7">
        <v>16.5</v>
      </c>
      <c r="C726" s="7">
        <v>99.75</v>
      </c>
      <c r="D726" s="7">
        <v>121.68</v>
      </c>
      <c r="E726" s="7">
        <v>94.13</v>
      </c>
      <c r="F726" s="7">
        <v>47.66</v>
      </c>
      <c r="G726" s="7">
        <v>303.89</v>
      </c>
      <c r="H726">
        <f t="shared" si="66"/>
        <v>1.5267472130788381E-2</v>
      </c>
      <c r="I726">
        <f t="shared" si="67"/>
        <v>9.5694510161506725E-3</v>
      </c>
      <c r="J726">
        <f t="shared" si="68"/>
        <v>7.0296905365155538E-2</v>
      </c>
      <c r="K726">
        <f t="shared" si="69"/>
        <v>7.6783996743714535E-3</v>
      </c>
      <c r="L726">
        <f t="shared" si="70"/>
        <v>3.5733091095654103E-3</v>
      </c>
      <c r="M726">
        <f t="shared" si="71"/>
        <v>-1.486154114445218E-2</v>
      </c>
    </row>
    <row r="727" spans="1:13" x14ac:dyDescent="0.2">
      <c r="A727" s="6">
        <v>44888</v>
      </c>
      <c r="B727" s="7">
        <v>16.02</v>
      </c>
      <c r="C727" s="7">
        <v>100.3</v>
      </c>
      <c r="D727" s="7">
        <v>122.73</v>
      </c>
      <c r="E727" s="7">
        <v>93.2</v>
      </c>
      <c r="F727" s="7">
        <v>46.79</v>
      </c>
      <c r="G727" s="7">
        <v>296.95</v>
      </c>
      <c r="H727">
        <f t="shared" si="66"/>
        <v>-2.9522439266321841E-2</v>
      </c>
      <c r="I727">
        <f t="shared" si="67"/>
        <v>5.4986391979169316E-3</v>
      </c>
      <c r="J727">
        <f t="shared" si="68"/>
        <v>8.5921726583795439E-3</v>
      </c>
      <c r="K727">
        <f t="shared" si="69"/>
        <v>-9.9290838675832292E-3</v>
      </c>
      <c r="L727">
        <f t="shared" si="70"/>
        <v>-1.842296679247114E-2</v>
      </c>
      <c r="M727">
        <f t="shared" si="71"/>
        <v>-2.3102019358438516E-2</v>
      </c>
    </row>
    <row r="728" spans="1:13" x14ac:dyDescent="0.2">
      <c r="A728" s="6">
        <v>44886</v>
      </c>
      <c r="B728" s="7">
        <v>15.39</v>
      </c>
      <c r="C728" s="7">
        <v>94.54</v>
      </c>
      <c r="D728" s="7">
        <v>117.38</v>
      </c>
      <c r="E728" s="7">
        <v>94.14</v>
      </c>
      <c r="F728" s="7">
        <v>47.91</v>
      </c>
      <c r="G728" s="7">
        <v>296.64</v>
      </c>
      <c r="H728">
        <f t="shared" si="66"/>
        <v>-4.0119993789425289E-2</v>
      </c>
      <c r="I728">
        <f t="shared" si="67"/>
        <v>-5.9142669602799479E-2</v>
      </c>
      <c r="J728">
        <f t="shared" si="68"/>
        <v>-4.4570285479228464E-2</v>
      </c>
      <c r="K728">
        <f t="shared" si="69"/>
        <v>1.0035314281450785E-2</v>
      </c>
      <c r="L728">
        <f t="shared" si="70"/>
        <v>2.3654746016905693E-2</v>
      </c>
      <c r="M728">
        <f t="shared" si="71"/>
        <v>-1.0444920843788689E-3</v>
      </c>
    </row>
    <row r="729" spans="1:13" x14ac:dyDescent="0.2">
      <c r="A729" s="6">
        <v>44883</v>
      </c>
      <c r="B729" s="7">
        <v>15.66</v>
      </c>
      <c r="C729" s="7">
        <v>95.39</v>
      </c>
      <c r="D729" s="7">
        <v>108.79</v>
      </c>
      <c r="E729" s="7">
        <v>94.85</v>
      </c>
      <c r="F729" s="7">
        <v>47.84</v>
      </c>
      <c r="G729" s="7">
        <v>294.14</v>
      </c>
      <c r="H729">
        <f t="shared" si="66"/>
        <v>1.7391742711869239E-2</v>
      </c>
      <c r="I729">
        <f t="shared" si="67"/>
        <v>8.9507257920262723E-3</v>
      </c>
      <c r="J729">
        <f t="shared" si="68"/>
        <v>-7.5997116697197081E-2</v>
      </c>
      <c r="K729">
        <f t="shared" si="69"/>
        <v>7.5136604080268468E-3</v>
      </c>
      <c r="L729">
        <f t="shared" si="70"/>
        <v>-1.4621412526542726E-3</v>
      </c>
      <c r="M729">
        <f t="shared" si="71"/>
        <v>-8.4634379053226492E-3</v>
      </c>
    </row>
    <row r="730" spans="1:13" x14ac:dyDescent="0.2">
      <c r="A730" s="6">
        <v>44882</v>
      </c>
      <c r="B730" s="7">
        <v>15.89</v>
      </c>
      <c r="C730" s="7">
        <v>96.79</v>
      </c>
      <c r="D730" s="7">
        <v>108.11</v>
      </c>
      <c r="E730" s="7">
        <v>97.12</v>
      </c>
      <c r="F730" s="7">
        <v>48.09</v>
      </c>
      <c r="G730" s="7">
        <v>296.57</v>
      </c>
      <c r="H730">
        <f t="shared" si="66"/>
        <v>1.4580289985967618E-2</v>
      </c>
      <c r="I730">
        <f t="shared" si="67"/>
        <v>1.4569932003880589E-2</v>
      </c>
      <c r="J730">
        <f t="shared" si="68"/>
        <v>-6.2701911283113629E-3</v>
      </c>
      <c r="K730">
        <f t="shared" si="69"/>
        <v>2.3650630930164944E-2</v>
      </c>
      <c r="L730">
        <f t="shared" si="70"/>
        <v>5.2121456471949908E-3</v>
      </c>
      <c r="M730">
        <f t="shared" si="71"/>
        <v>8.2274337910126765E-3</v>
      </c>
    </row>
    <row r="731" spans="1:13" x14ac:dyDescent="0.2">
      <c r="A731" s="6">
        <v>44881</v>
      </c>
      <c r="B731" s="7">
        <v>16.649999999999999</v>
      </c>
      <c r="C731" s="7">
        <v>97.79</v>
      </c>
      <c r="D731" s="7">
        <v>110.73</v>
      </c>
      <c r="E731" s="7">
        <v>98.94</v>
      </c>
      <c r="F731" s="7">
        <v>48.65</v>
      </c>
      <c r="G731" s="7">
        <v>303.89999999999998</v>
      </c>
      <c r="H731">
        <f t="shared" si="66"/>
        <v>4.6720235877828031E-2</v>
      </c>
      <c r="I731">
        <f t="shared" si="67"/>
        <v>1.0278639163186474E-2</v>
      </c>
      <c r="J731">
        <f t="shared" si="68"/>
        <v>2.3945578405336881E-2</v>
      </c>
      <c r="K731">
        <f t="shared" si="69"/>
        <v>1.8566278488374333E-2</v>
      </c>
      <c r="L731">
        <f t="shared" si="70"/>
        <v>1.1577553342442672E-2</v>
      </c>
      <c r="M731">
        <f t="shared" si="71"/>
        <v>2.4415421659566998E-2</v>
      </c>
    </row>
    <row r="732" spans="1:13" x14ac:dyDescent="0.2">
      <c r="A732" s="6">
        <v>44880</v>
      </c>
      <c r="B732" s="7">
        <v>16.27</v>
      </c>
      <c r="C732" s="7">
        <v>96.39</v>
      </c>
      <c r="D732" s="7">
        <v>111.55</v>
      </c>
      <c r="E732" s="7">
        <v>98.49</v>
      </c>
      <c r="F732" s="7">
        <v>49.15</v>
      </c>
      <c r="G732" s="7">
        <v>303.05</v>
      </c>
      <c r="H732">
        <f t="shared" si="66"/>
        <v>-2.3087295195506355E-2</v>
      </c>
      <c r="I732">
        <f t="shared" si="67"/>
        <v>-1.4419860528307068E-2</v>
      </c>
      <c r="J732">
        <f t="shared" si="68"/>
        <v>7.3781151685244611E-3</v>
      </c>
      <c r="K732">
        <f t="shared" si="69"/>
        <v>-4.5585856179515254E-3</v>
      </c>
      <c r="L732">
        <f t="shared" si="70"/>
        <v>1.0225037961161395E-2</v>
      </c>
      <c r="M732">
        <f t="shared" si="71"/>
        <v>-2.8008915254532042E-3</v>
      </c>
    </row>
    <row r="733" spans="1:13" x14ac:dyDescent="0.2">
      <c r="A733" s="6">
        <v>44876</v>
      </c>
      <c r="B733" s="7">
        <v>15.73</v>
      </c>
      <c r="C733" s="7">
        <v>96.76</v>
      </c>
      <c r="D733" s="7">
        <v>109.19</v>
      </c>
      <c r="E733" s="7">
        <v>96.63</v>
      </c>
      <c r="F733" s="7">
        <v>48.9</v>
      </c>
      <c r="G733" s="7">
        <v>300.2</v>
      </c>
      <c r="H733">
        <f t="shared" si="66"/>
        <v>-3.37532041607599E-2</v>
      </c>
      <c r="I733">
        <f t="shared" si="67"/>
        <v>3.8312239459497581E-3</v>
      </c>
      <c r="J733">
        <f t="shared" si="68"/>
        <v>-2.138343685256661E-2</v>
      </c>
      <c r="K733">
        <f t="shared" si="69"/>
        <v>-1.9065768170393859E-2</v>
      </c>
      <c r="L733">
        <f t="shared" si="70"/>
        <v>-5.099450112349249E-3</v>
      </c>
      <c r="M733">
        <f t="shared" si="71"/>
        <v>-9.4488891979325074E-3</v>
      </c>
    </row>
    <row r="734" spans="1:13" x14ac:dyDescent="0.2">
      <c r="A734" s="6">
        <v>44875</v>
      </c>
      <c r="B734" s="7">
        <v>13.76</v>
      </c>
      <c r="C734" s="7">
        <v>97.69</v>
      </c>
      <c r="D734" s="7">
        <v>111.36</v>
      </c>
      <c r="E734" s="7">
        <v>86.14</v>
      </c>
      <c r="F734" s="7">
        <v>49.07</v>
      </c>
      <c r="G734" s="7">
        <v>291</v>
      </c>
      <c r="H734">
        <f t="shared" si="66"/>
        <v>-0.13380388456498887</v>
      </c>
      <c r="I734">
        <f t="shared" si="67"/>
        <v>9.5655139230246822E-3</v>
      </c>
      <c r="J734">
        <f t="shared" si="68"/>
        <v>1.9678712560134676E-2</v>
      </c>
      <c r="K734">
        <f t="shared" si="69"/>
        <v>-0.11491537238525251</v>
      </c>
      <c r="L734">
        <f t="shared" si="70"/>
        <v>3.4704536209858136E-3</v>
      </c>
      <c r="M734">
        <f t="shared" si="71"/>
        <v>-3.1125652027869065E-2</v>
      </c>
    </row>
    <row r="735" spans="1:13" x14ac:dyDescent="0.2">
      <c r="A735" s="6">
        <v>44874</v>
      </c>
      <c r="B735" s="7">
        <v>14.58</v>
      </c>
      <c r="C735" s="7">
        <v>98.17</v>
      </c>
      <c r="D735" s="7">
        <v>110.77</v>
      </c>
      <c r="E735" s="7">
        <v>89.98</v>
      </c>
      <c r="F735" s="7">
        <v>49.25</v>
      </c>
      <c r="G735" s="7">
        <v>293.72000000000003</v>
      </c>
      <c r="H735">
        <f t="shared" si="66"/>
        <v>5.7884894075314483E-2</v>
      </c>
      <c r="I735">
        <f t="shared" si="67"/>
        <v>4.9014700395789519E-3</v>
      </c>
      <c r="J735">
        <f t="shared" si="68"/>
        <v>-5.3122170572680672E-3</v>
      </c>
      <c r="K735">
        <f t="shared" si="69"/>
        <v>4.3613543787061705E-2</v>
      </c>
      <c r="L735">
        <f t="shared" si="70"/>
        <v>3.6615175162857442E-3</v>
      </c>
      <c r="M735">
        <f t="shared" si="71"/>
        <v>9.303665411917272E-3</v>
      </c>
    </row>
    <row r="736" spans="1:13" x14ac:dyDescent="0.2">
      <c r="A736" s="6">
        <v>44873</v>
      </c>
      <c r="B736" s="7">
        <v>14.28</v>
      </c>
      <c r="C736" s="7">
        <v>97.77</v>
      </c>
      <c r="D736" s="7">
        <v>112.54</v>
      </c>
      <c r="E736" s="7">
        <v>90.53</v>
      </c>
      <c r="F736" s="7">
        <v>49.11</v>
      </c>
      <c r="G736" s="7">
        <v>300.58999999999997</v>
      </c>
      <c r="H736">
        <f t="shared" si="66"/>
        <v>-2.079076966907378E-2</v>
      </c>
      <c r="I736">
        <f t="shared" si="67"/>
        <v>-4.0828881868502191E-3</v>
      </c>
      <c r="J736">
        <f t="shared" si="68"/>
        <v>1.5852734476291593E-2</v>
      </c>
      <c r="K736">
        <f t="shared" si="69"/>
        <v>6.0938640743228127E-3</v>
      </c>
      <c r="L736">
        <f t="shared" si="70"/>
        <v>-2.8466875669446567E-3</v>
      </c>
      <c r="M736">
        <f t="shared" si="71"/>
        <v>2.3120277382378047E-2</v>
      </c>
    </row>
    <row r="737" spans="1:13" x14ac:dyDescent="0.2">
      <c r="A737" s="6">
        <v>44872</v>
      </c>
      <c r="B737" s="7">
        <v>14.14</v>
      </c>
      <c r="C737" s="7">
        <v>95.04</v>
      </c>
      <c r="D737" s="7">
        <v>116.36</v>
      </c>
      <c r="E737" s="7">
        <v>90.98</v>
      </c>
      <c r="F737" s="7">
        <v>48.9</v>
      </c>
      <c r="G737" s="7">
        <v>296.11</v>
      </c>
      <c r="H737">
        <f t="shared" si="66"/>
        <v>-9.8522964430115944E-3</v>
      </c>
      <c r="I737">
        <f t="shared" si="67"/>
        <v>-2.8319925903244923E-2</v>
      </c>
      <c r="J737">
        <f t="shared" si="68"/>
        <v>3.3380119621867987E-2</v>
      </c>
      <c r="K737">
        <f t="shared" si="69"/>
        <v>4.958414654509179E-3</v>
      </c>
      <c r="L737">
        <f t="shared" si="70"/>
        <v>-4.2852835703269376E-3</v>
      </c>
      <c r="M737">
        <f t="shared" si="71"/>
        <v>-1.5016203054318127E-2</v>
      </c>
    </row>
    <row r="738" spans="1:13" x14ac:dyDescent="0.2">
      <c r="A738" s="6">
        <v>44869</v>
      </c>
      <c r="B738" s="7">
        <v>13.4</v>
      </c>
      <c r="C738" s="7">
        <v>95.75</v>
      </c>
      <c r="D738" s="7">
        <v>113.52</v>
      </c>
      <c r="E738" s="7">
        <v>89.3</v>
      </c>
      <c r="F738" s="7">
        <v>48.66</v>
      </c>
      <c r="G738" s="7">
        <v>299.20999999999998</v>
      </c>
      <c r="H738">
        <f t="shared" si="66"/>
        <v>-5.3752953511561043E-2</v>
      </c>
      <c r="I738">
        <f t="shared" si="67"/>
        <v>7.442772446420564E-3</v>
      </c>
      <c r="J738">
        <f t="shared" si="68"/>
        <v>-2.4709800775213661E-2</v>
      </c>
      <c r="K738">
        <f t="shared" si="69"/>
        <v>-1.8638214259404685E-2</v>
      </c>
      <c r="L738">
        <f t="shared" si="70"/>
        <v>-4.9200591254498702E-3</v>
      </c>
      <c r="M738">
        <f t="shared" si="71"/>
        <v>1.0414661090227491E-2</v>
      </c>
    </row>
    <row r="739" spans="1:13" x14ac:dyDescent="0.2">
      <c r="A739" s="6">
        <v>44868</v>
      </c>
      <c r="B739" s="7">
        <v>13.2</v>
      </c>
      <c r="C739" s="7">
        <v>93.3</v>
      </c>
      <c r="D739" s="7">
        <v>112.33</v>
      </c>
      <c r="E739" s="7">
        <v>92.12</v>
      </c>
      <c r="F739" s="7">
        <v>48.49</v>
      </c>
      <c r="G739" s="7">
        <v>291.75</v>
      </c>
      <c r="H739">
        <f t="shared" si="66"/>
        <v>-1.5037877364540559E-2</v>
      </c>
      <c r="I739">
        <f t="shared" si="67"/>
        <v>-2.5920520207457224E-2</v>
      </c>
      <c r="J739">
        <f t="shared" si="68"/>
        <v>-1.0538065198309332E-2</v>
      </c>
      <c r="K739">
        <f t="shared" si="69"/>
        <v>3.1090587070031182E-2</v>
      </c>
      <c r="L739">
        <f t="shared" si="70"/>
        <v>-3.4997462381155149E-3</v>
      </c>
      <c r="M739">
        <f t="shared" si="71"/>
        <v>-2.524839683503179E-2</v>
      </c>
    </row>
    <row r="740" spans="1:13" x14ac:dyDescent="0.2">
      <c r="A740" s="6">
        <v>44867</v>
      </c>
      <c r="B740" s="7">
        <v>13.53</v>
      </c>
      <c r="C740" s="7">
        <v>86.72</v>
      </c>
      <c r="D740" s="7">
        <v>111.18</v>
      </c>
      <c r="E740" s="7">
        <v>96.79</v>
      </c>
      <c r="F740" s="7">
        <v>48.19</v>
      </c>
      <c r="G740" s="7">
        <v>288.44</v>
      </c>
      <c r="H740">
        <f t="shared" si="66"/>
        <v>2.4692612590371414E-2</v>
      </c>
      <c r="I740">
        <f t="shared" si="67"/>
        <v>-7.313557016196208E-2</v>
      </c>
      <c r="J740">
        <f t="shared" si="68"/>
        <v>-1.029045812815441E-2</v>
      </c>
      <c r="K740">
        <f t="shared" si="69"/>
        <v>4.9451608208512861E-2</v>
      </c>
      <c r="L740">
        <f t="shared" si="70"/>
        <v>-6.2060604650196419E-3</v>
      </c>
      <c r="M740">
        <f t="shared" si="71"/>
        <v>-1.1410179118106593E-2</v>
      </c>
    </row>
    <row r="741" spans="1:13" x14ac:dyDescent="0.2">
      <c r="A741" s="6">
        <v>44866</v>
      </c>
      <c r="B741" s="7">
        <v>13.48</v>
      </c>
      <c r="C741" s="7">
        <v>88.29</v>
      </c>
      <c r="D741" s="7">
        <v>100.85</v>
      </c>
      <c r="E741" s="7">
        <v>102.44</v>
      </c>
      <c r="F741" s="7">
        <v>47.48</v>
      </c>
      <c r="G741" s="7">
        <v>286.83</v>
      </c>
      <c r="H741">
        <f t="shared" si="66"/>
        <v>-3.7023366985356656E-3</v>
      </c>
      <c r="I741">
        <f t="shared" si="67"/>
        <v>1.7942313222155042E-2</v>
      </c>
      <c r="J741">
        <f t="shared" si="68"/>
        <v>-9.7516245125102721E-2</v>
      </c>
      <c r="K741">
        <f t="shared" si="69"/>
        <v>5.6733578170327266E-2</v>
      </c>
      <c r="L741">
        <f t="shared" si="70"/>
        <v>-1.4842960910774064E-2</v>
      </c>
      <c r="M741">
        <f t="shared" si="71"/>
        <v>-5.5973862830944379E-3</v>
      </c>
    </row>
    <row r="742" spans="1:13" x14ac:dyDescent="0.2">
      <c r="A742" s="6">
        <v>44865</v>
      </c>
      <c r="B742" s="7">
        <v>13.82</v>
      </c>
      <c r="C742" s="7">
        <v>87.88</v>
      </c>
      <c r="D742" s="7">
        <v>95.88</v>
      </c>
      <c r="E742" s="7">
        <v>103.41</v>
      </c>
      <c r="F742" s="7">
        <v>47.64</v>
      </c>
      <c r="G742" s="7">
        <v>290.02999999999997</v>
      </c>
      <c r="H742">
        <f t="shared" si="66"/>
        <v>2.4909712855362899E-2</v>
      </c>
      <c r="I742">
        <f t="shared" si="67"/>
        <v>-4.6546033970817132E-3</v>
      </c>
      <c r="J742">
        <f t="shared" si="68"/>
        <v>-5.0536854834037179E-2</v>
      </c>
      <c r="K742">
        <f t="shared" si="69"/>
        <v>9.4244078655591305E-3</v>
      </c>
      <c r="L742">
        <f t="shared" si="70"/>
        <v>3.3641747456320684E-3</v>
      </c>
      <c r="M742">
        <f t="shared" si="71"/>
        <v>1.1094660140513342E-2</v>
      </c>
    </row>
    <row r="743" spans="1:13" x14ac:dyDescent="0.2">
      <c r="A743" s="6">
        <v>44862</v>
      </c>
      <c r="B743" s="7">
        <v>13.16</v>
      </c>
      <c r="C743" s="7">
        <v>85.99</v>
      </c>
      <c r="D743" s="7">
        <v>96.13</v>
      </c>
      <c r="E743" s="7">
        <v>110.96</v>
      </c>
      <c r="F743" s="7">
        <v>47.3</v>
      </c>
      <c r="G743" s="7">
        <v>287.29000000000002</v>
      </c>
      <c r="H743">
        <f t="shared" si="66"/>
        <v>-4.8934892442352718E-2</v>
      </c>
      <c r="I743">
        <f t="shared" si="67"/>
        <v>-2.1741237093604288E-2</v>
      </c>
      <c r="J743">
        <f t="shared" si="68"/>
        <v>2.6040325115412664E-3</v>
      </c>
      <c r="K743">
        <f t="shared" si="69"/>
        <v>7.0468106809692385E-2</v>
      </c>
      <c r="L743">
        <f t="shared" si="70"/>
        <v>-7.1624489892121107E-3</v>
      </c>
      <c r="M743">
        <f t="shared" si="71"/>
        <v>-9.4922073486424473E-3</v>
      </c>
    </row>
    <row r="744" spans="1:13" x14ac:dyDescent="0.2">
      <c r="A744" s="6">
        <v>44861</v>
      </c>
      <c r="B744" s="7">
        <v>12.88</v>
      </c>
      <c r="C744" s="7">
        <v>82.86</v>
      </c>
      <c r="D744" s="7">
        <v>90.23</v>
      </c>
      <c r="E744" s="7">
        <v>115.66</v>
      </c>
      <c r="F744" s="7">
        <v>44.4</v>
      </c>
      <c r="G744" s="7">
        <v>282.67</v>
      </c>
      <c r="H744">
        <f t="shared" si="66"/>
        <v>-2.1506205220963505E-2</v>
      </c>
      <c r="I744">
        <f t="shared" si="67"/>
        <v>-3.7078573773549388E-2</v>
      </c>
      <c r="J744">
        <f t="shared" si="68"/>
        <v>-6.333947607131539E-2</v>
      </c>
      <c r="K744">
        <f t="shared" si="69"/>
        <v>4.1485076723496057E-2</v>
      </c>
      <c r="L744">
        <f t="shared" si="70"/>
        <v>-6.3270826059708241E-2</v>
      </c>
      <c r="M744">
        <f t="shared" si="71"/>
        <v>-1.6212019050242166E-2</v>
      </c>
    </row>
    <row r="745" spans="1:13" x14ac:dyDescent="0.2">
      <c r="A745" s="6">
        <v>44860</v>
      </c>
      <c r="B745" s="7">
        <v>13.24</v>
      </c>
      <c r="C745" s="7">
        <v>86.37</v>
      </c>
      <c r="D745" s="7">
        <v>88.37</v>
      </c>
      <c r="E745" s="7">
        <v>120.6</v>
      </c>
      <c r="F745" s="7">
        <v>45.74</v>
      </c>
      <c r="G745" s="7">
        <v>290.06</v>
      </c>
      <c r="H745">
        <f t="shared" si="66"/>
        <v>2.7566829832654592E-2</v>
      </c>
      <c r="I745">
        <f t="shared" si="67"/>
        <v>4.1487956642938424E-2</v>
      </c>
      <c r="J745">
        <f t="shared" si="68"/>
        <v>-2.0829420476496302E-2</v>
      </c>
      <c r="K745">
        <f t="shared" si="69"/>
        <v>4.1824431563012909E-2</v>
      </c>
      <c r="L745">
        <f t="shared" si="70"/>
        <v>2.9733719156456034E-2</v>
      </c>
      <c r="M745">
        <f t="shared" si="71"/>
        <v>2.5807658625010808E-2</v>
      </c>
    </row>
    <row r="746" spans="1:13" x14ac:dyDescent="0.2">
      <c r="A746" s="6">
        <v>44859</v>
      </c>
      <c r="B746" s="7">
        <v>12.58</v>
      </c>
      <c r="C746" s="7">
        <v>89.85</v>
      </c>
      <c r="D746" s="7">
        <v>89.99</v>
      </c>
      <c r="E746" s="7">
        <v>119.82</v>
      </c>
      <c r="F746" s="7">
        <v>45.67</v>
      </c>
      <c r="G746" s="7">
        <v>287.07</v>
      </c>
      <c r="H746">
        <f t="shared" si="66"/>
        <v>-5.1134299236567655E-2</v>
      </c>
      <c r="I746">
        <f t="shared" si="67"/>
        <v>3.9501219937373773E-2</v>
      </c>
      <c r="J746">
        <f t="shared" si="68"/>
        <v>1.8166007515943897E-2</v>
      </c>
      <c r="K746">
        <f t="shared" si="69"/>
        <v>-6.4886676373062677E-3</v>
      </c>
      <c r="L746">
        <f t="shared" si="70"/>
        <v>-1.5315613977274992E-3</v>
      </c>
      <c r="M746">
        <f t="shared" si="71"/>
        <v>-1.0361709672822817E-2</v>
      </c>
    </row>
    <row r="747" spans="1:13" x14ac:dyDescent="0.2">
      <c r="A747" s="6">
        <v>44858</v>
      </c>
      <c r="B747" s="7">
        <v>12.45</v>
      </c>
      <c r="C747" s="7">
        <v>93.86</v>
      </c>
      <c r="D747" s="7">
        <v>94.62</v>
      </c>
      <c r="E747" s="7">
        <v>119.32</v>
      </c>
      <c r="F747" s="7">
        <v>44.74</v>
      </c>
      <c r="G747" s="7">
        <v>264.08999999999997</v>
      </c>
      <c r="H747">
        <f t="shared" si="66"/>
        <v>-1.0387628361577923E-2</v>
      </c>
      <c r="I747">
        <f t="shared" si="67"/>
        <v>4.3662697136703704E-2</v>
      </c>
      <c r="J747">
        <f t="shared" si="68"/>
        <v>5.0170317157144866E-2</v>
      </c>
      <c r="K747">
        <f t="shared" si="69"/>
        <v>-4.1816570092310474E-3</v>
      </c>
      <c r="L747">
        <f t="shared" si="70"/>
        <v>-2.0573671134924081E-2</v>
      </c>
      <c r="M747">
        <f t="shared" si="71"/>
        <v>-8.3436134318356836E-2</v>
      </c>
    </row>
    <row r="748" spans="1:13" x14ac:dyDescent="0.2">
      <c r="A748" s="6">
        <v>44855</v>
      </c>
      <c r="B748" s="7">
        <v>12.18</v>
      </c>
      <c r="C748" s="7">
        <v>95.63</v>
      </c>
      <c r="D748" s="7">
        <v>92.59</v>
      </c>
      <c r="E748" s="7">
        <v>115.25</v>
      </c>
      <c r="F748" s="7">
        <v>45.81</v>
      </c>
      <c r="G748" s="7">
        <v>268.14</v>
      </c>
      <c r="H748">
        <f t="shared" si="66"/>
        <v>-2.1925360628965659E-2</v>
      </c>
      <c r="I748">
        <f t="shared" si="67"/>
        <v>1.8682267995179691E-2</v>
      </c>
      <c r="J748">
        <f t="shared" si="68"/>
        <v>-2.1687725743046296E-2</v>
      </c>
      <c r="K748">
        <f t="shared" si="69"/>
        <v>-3.4705277769789759E-2</v>
      </c>
      <c r="L748">
        <f t="shared" si="70"/>
        <v>2.3634451836667111E-2</v>
      </c>
      <c r="M748">
        <f t="shared" si="71"/>
        <v>1.5219278032490745E-2</v>
      </c>
    </row>
    <row r="749" spans="1:13" x14ac:dyDescent="0.2">
      <c r="A749" s="6">
        <v>44854</v>
      </c>
      <c r="B749" s="7">
        <v>12.04</v>
      </c>
      <c r="C749" s="7">
        <v>91.59</v>
      </c>
      <c r="D749" s="7">
        <v>98.59</v>
      </c>
      <c r="E749" s="7">
        <v>115.07</v>
      </c>
      <c r="F749" s="7">
        <v>45.7</v>
      </c>
      <c r="G749" s="7">
        <v>267.33999999999997</v>
      </c>
      <c r="H749">
        <f t="shared" si="66"/>
        <v>-1.1560822401076084E-2</v>
      </c>
      <c r="I749">
        <f t="shared" si="67"/>
        <v>-4.3164482946555033E-2</v>
      </c>
      <c r="J749">
        <f t="shared" si="68"/>
        <v>6.2788692126994297E-2</v>
      </c>
      <c r="K749">
        <f t="shared" si="69"/>
        <v>-1.5630430413907013E-3</v>
      </c>
      <c r="L749">
        <f t="shared" si="70"/>
        <v>-2.4041099984916758E-3</v>
      </c>
      <c r="M749">
        <f t="shared" si="71"/>
        <v>-2.9879756300881565E-3</v>
      </c>
    </row>
    <row r="750" spans="1:13" x14ac:dyDescent="0.2">
      <c r="A750" s="6">
        <v>44853</v>
      </c>
      <c r="B750" s="7">
        <v>11.95</v>
      </c>
      <c r="C750" s="7">
        <v>94.28</v>
      </c>
      <c r="D750" s="7">
        <v>97.34</v>
      </c>
      <c r="E750" s="7">
        <v>116.36</v>
      </c>
      <c r="F750" s="7">
        <v>45.22</v>
      </c>
      <c r="G750" s="7">
        <v>261.58999999999997</v>
      </c>
      <c r="H750">
        <f t="shared" si="66"/>
        <v>-7.5031615031552713E-3</v>
      </c>
      <c r="I750">
        <f t="shared" si="67"/>
        <v>2.8946982653034133E-2</v>
      </c>
      <c r="J750">
        <f t="shared" si="68"/>
        <v>-1.2759832181641759E-2</v>
      </c>
      <c r="K750">
        <f t="shared" si="69"/>
        <v>1.1148194791633686E-2</v>
      </c>
      <c r="L750">
        <f t="shared" si="70"/>
        <v>-1.055883105033536E-2</v>
      </c>
      <c r="M750">
        <f t="shared" si="71"/>
        <v>-2.1742863990621138E-2</v>
      </c>
    </row>
    <row r="751" spans="1:13" x14ac:dyDescent="0.2">
      <c r="A751" s="6">
        <v>44852</v>
      </c>
      <c r="B751" s="7">
        <v>11.87</v>
      </c>
      <c r="C751" s="7">
        <v>103.76</v>
      </c>
      <c r="D751" s="7">
        <v>129.02000000000001</v>
      </c>
      <c r="E751" s="7">
        <v>113.79</v>
      </c>
      <c r="F751" s="7">
        <v>45.14</v>
      </c>
      <c r="G751" s="7">
        <v>259.26</v>
      </c>
      <c r="H751">
        <f t="shared" si="66"/>
        <v>-6.717069755943E-3</v>
      </c>
      <c r="I751">
        <f t="shared" si="67"/>
        <v>9.5811461940258177E-2</v>
      </c>
      <c r="J751">
        <f t="shared" si="68"/>
        <v>0.28175742669878739</v>
      </c>
      <c r="K751">
        <f t="shared" si="69"/>
        <v>-2.2334189258083555E-2</v>
      </c>
      <c r="L751">
        <f t="shared" si="70"/>
        <v>-1.7706954604340933E-3</v>
      </c>
      <c r="M751">
        <f t="shared" si="71"/>
        <v>-8.9469733808089265E-3</v>
      </c>
    </row>
    <row r="752" spans="1:13" x14ac:dyDescent="0.2">
      <c r="A752" s="6">
        <v>44851</v>
      </c>
      <c r="B752" s="7">
        <v>11.21</v>
      </c>
      <c r="C752" s="7">
        <v>101.82</v>
      </c>
      <c r="D752" s="7">
        <v>136.66999999999999</v>
      </c>
      <c r="E752" s="7">
        <v>106.9</v>
      </c>
      <c r="F752" s="7">
        <v>45.15</v>
      </c>
      <c r="G752" s="7">
        <v>265.92</v>
      </c>
      <c r="H752">
        <f t="shared" si="66"/>
        <v>-5.7207971537508027E-2</v>
      </c>
      <c r="I752">
        <f t="shared" si="67"/>
        <v>-1.8873991533998588E-2</v>
      </c>
      <c r="J752">
        <f t="shared" si="68"/>
        <v>5.7601829872613225E-2</v>
      </c>
      <c r="K752">
        <f t="shared" si="69"/>
        <v>-6.2460826337917684E-2</v>
      </c>
      <c r="L752">
        <f t="shared" si="70"/>
        <v>2.2150847360485529E-4</v>
      </c>
      <c r="M752">
        <f t="shared" si="71"/>
        <v>2.5364092495186685E-2</v>
      </c>
    </row>
    <row r="753" spans="1:13" x14ac:dyDescent="0.2">
      <c r="A753" s="6">
        <v>44848</v>
      </c>
      <c r="B753" s="7">
        <v>11.94</v>
      </c>
      <c r="C753" s="7">
        <v>100.44</v>
      </c>
      <c r="D753" s="7">
        <v>128.93</v>
      </c>
      <c r="E753" s="7">
        <v>112.53</v>
      </c>
      <c r="F753" s="7">
        <v>45.46</v>
      </c>
      <c r="G753" s="7">
        <v>272.67</v>
      </c>
      <c r="H753">
        <f t="shared" si="66"/>
        <v>6.3087870880387309E-2</v>
      </c>
      <c r="I753">
        <f t="shared" si="67"/>
        <v>-1.3646014184805632E-2</v>
      </c>
      <c r="J753">
        <f t="shared" si="68"/>
        <v>-5.8299639553962737E-2</v>
      </c>
      <c r="K753">
        <f t="shared" si="69"/>
        <v>5.1326034730906009E-2</v>
      </c>
      <c r="L753">
        <f t="shared" si="70"/>
        <v>6.8425385614027572E-3</v>
      </c>
      <c r="M753">
        <f t="shared" si="71"/>
        <v>2.5066761131705261E-2</v>
      </c>
    </row>
    <row r="754" spans="1:13" x14ac:dyDescent="0.2">
      <c r="A754" s="6">
        <v>44847</v>
      </c>
      <c r="B754" s="7">
        <v>11.49</v>
      </c>
      <c r="C754" s="7">
        <v>99.29</v>
      </c>
      <c r="D754" s="7">
        <v>129.21</v>
      </c>
      <c r="E754" s="7">
        <v>112.9</v>
      </c>
      <c r="F754" s="7">
        <v>45.66</v>
      </c>
      <c r="G754" s="7">
        <v>272.73</v>
      </c>
      <c r="H754">
        <f t="shared" si="66"/>
        <v>-3.841701610379171E-2</v>
      </c>
      <c r="I754">
        <f t="shared" si="67"/>
        <v>-1.1515673243881431E-2</v>
      </c>
      <c r="J754">
        <f t="shared" si="68"/>
        <v>2.1693663113825853E-3</v>
      </c>
      <c r="K754">
        <f t="shared" si="69"/>
        <v>3.2826183937106125E-3</v>
      </c>
      <c r="L754">
        <f t="shared" si="70"/>
        <v>4.3898226772521535E-3</v>
      </c>
      <c r="M754">
        <f t="shared" si="71"/>
        <v>2.2002200308773195E-4</v>
      </c>
    </row>
    <row r="755" spans="1:13" x14ac:dyDescent="0.2">
      <c r="A755" s="6">
        <v>44846</v>
      </c>
      <c r="B755" s="7">
        <v>11.57</v>
      </c>
      <c r="C755" s="7">
        <v>98.95</v>
      </c>
      <c r="D755" s="7">
        <v>130.72</v>
      </c>
      <c r="E755" s="7">
        <v>112.21</v>
      </c>
      <c r="F755" s="7">
        <v>45.72</v>
      </c>
      <c r="G755" s="7">
        <v>275.05</v>
      </c>
      <c r="H755">
        <f t="shared" si="66"/>
        <v>6.9384493449208542E-3</v>
      </c>
      <c r="I755">
        <f t="shared" si="67"/>
        <v>-3.4301889969280395E-3</v>
      </c>
      <c r="J755">
        <f t="shared" si="68"/>
        <v>1.161864337756385E-2</v>
      </c>
      <c r="K755">
        <f t="shared" si="69"/>
        <v>-6.130355478841572E-3</v>
      </c>
      <c r="L755">
        <f t="shared" si="70"/>
        <v>1.3131978249603929E-3</v>
      </c>
      <c r="M755">
        <f t="shared" si="71"/>
        <v>8.4706045195906132E-3</v>
      </c>
    </row>
    <row r="756" spans="1:13" x14ac:dyDescent="0.2">
      <c r="A756" s="6">
        <v>44845</v>
      </c>
      <c r="B756" s="7">
        <v>11.66</v>
      </c>
      <c r="C756" s="7">
        <v>100.08</v>
      </c>
      <c r="D756" s="7">
        <v>132.41</v>
      </c>
      <c r="E756" s="7">
        <v>113.67</v>
      </c>
      <c r="F756" s="7">
        <v>45.15</v>
      </c>
      <c r="G756" s="7">
        <v>268.06</v>
      </c>
      <c r="H756">
        <f t="shared" si="66"/>
        <v>7.7486397167610983E-3</v>
      </c>
      <c r="I756">
        <f t="shared" si="67"/>
        <v>1.1355194110081011E-2</v>
      </c>
      <c r="J756">
        <f t="shared" si="68"/>
        <v>1.2845538239972587E-2</v>
      </c>
      <c r="K756">
        <f t="shared" si="69"/>
        <v>1.2927398021844227E-2</v>
      </c>
      <c r="L756">
        <f t="shared" si="70"/>
        <v>-1.2545559063615533E-2</v>
      </c>
      <c r="M756">
        <f t="shared" si="71"/>
        <v>-2.5742063271116514E-2</v>
      </c>
    </row>
    <row r="757" spans="1:13" x14ac:dyDescent="0.2">
      <c r="A757" s="6">
        <v>44844</v>
      </c>
      <c r="B757" s="7">
        <v>12.06</v>
      </c>
      <c r="C757" s="7">
        <v>99.29</v>
      </c>
      <c r="D757" s="7">
        <v>131.99</v>
      </c>
      <c r="E757" s="7">
        <v>114.56</v>
      </c>
      <c r="F757" s="7">
        <v>45.28</v>
      </c>
      <c r="G757" s="7">
        <v>267.23</v>
      </c>
      <c r="H757">
        <f t="shared" si="66"/>
        <v>3.3730010376693001E-2</v>
      </c>
      <c r="I757">
        <f t="shared" si="67"/>
        <v>-7.9250051131528384E-3</v>
      </c>
      <c r="J757">
        <f t="shared" si="68"/>
        <v>-3.1770072108021478E-3</v>
      </c>
      <c r="K757">
        <f t="shared" si="69"/>
        <v>7.7991895137162967E-3</v>
      </c>
      <c r="L757">
        <f t="shared" si="70"/>
        <v>2.8751540319332121E-3</v>
      </c>
      <c r="M757">
        <f t="shared" si="71"/>
        <v>-3.1011252411745974E-3</v>
      </c>
    </row>
    <row r="758" spans="1:13" x14ac:dyDescent="0.2">
      <c r="A758" s="6">
        <v>44841</v>
      </c>
      <c r="B758" s="7">
        <v>13.11</v>
      </c>
      <c r="C758" s="7">
        <v>95.9</v>
      </c>
      <c r="D758" s="7">
        <v>133.22</v>
      </c>
      <c r="E758" s="7">
        <v>120.3</v>
      </c>
      <c r="F758" s="7">
        <v>44.94</v>
      </c>
      <c r="G758" s="7">
        <v>267.33</v>
      </c>
      <c r="H758">
        <f t="shared" si="66"/>
        <v>8.3481106476569089E-2</v>
      </c>
      <c r="I758">
        <f t="shared" si="67"/>
        <v>-3.4738879156110257E-2</v>
      </c>
      <c r="J758">
        <f t="shared" si="68"/>
        <v>9.2757348441701148E-3</v>
      </c>
      <c r="K758">
        <f t="shared" si="69"/>
        <v>4.8889919768297659E-2</v>
      </c>
      <c r="L758">
        <f t="shared" si="70"/>
        <v>-7.5371671377444365E-3</v>
      </c>
      <c r="M758">
        <f t="shared" si="71"/>
        <v>3.7413948356204252E-4</v>
      </c>
    </row>
    <row r="759" spans="1:13" x14ac:dyDescent="0.2">
      <c r="A759" s="6">
        <v>44840</v>
      </c>
      <c r="B759" s="7">
        <v>13.19</v>
      </c>
      <c r="C759" s="7">
        <v>98.38</v>
      </c>
      <c r="D759" s="7">
        <v>125.98</v>
      </c>
      <c r="E759" s="7">
        <v>120.95</v>
      </c>
      <c r="F759" s="7">
        <v>44.72</v>
      </c>
      <c r="G759" s="7">
        <v>260.88</v>
      </c>
      <c r="H759">
        <f t="shared" si="66"/>
        <v>6.0836689536147371E-3</v>
      </c>
      <c r="I759">
        <f t="shared" si="67"/>
        <v>2.5531549477801053E-2</v>
      </c>
      <c r="J759">
        <f t="shared" si="68"/>
        <v>-5.5878732791250385E-2</v>
      </c>
      <c r="K759">
        <f t="shared" si="69"/>
        <v>5.3886140754030457E-3</v>
      </c>
      <c r="L759">
        <f t="shared" si="70"/>
        <v>-4.9074379103393757E-3</v>
      </c>
      <c r="M759">
        <f t="shared" si="71"/>
        <v>-2.4423318811674449E-2</v>
      </c>
    </row>
    <row r="760" spans="1:13" x14ac:dyDescent="0.2">
      <c r="A760" s="6">
        <v>44839</v>
      </c>
      <c r="B760" s="7">
        <v>13.15</v>
      </c>
      <c r="C760" s="7">
        <v>96.89</v>
      </c>
      <c r="D760" s="7">
        <v>129.49</v>
      </c>
      <c r="E760" s="7">
        <v>121.09</v>
      </c>
      <c r="F760" s="7">
        <v>43.89</v>
      </c>
      <c r="G760" s="7">
        <v>253.76</v>
      </c>
      <c r="H760">
        <f t="shared" si="66"/>
        <v>-3.0372081054495597E-3</v>
      </c>
      <c r="I760">
        <f t="shared" si="67"/>
        <v>-1.5261216970280926E-2</v>
      </c>
      <c r="J760">
        <f t="shared" si="68"/>
        <v>2.7480493886965735E-2</v>
      </c>
      <c r="K760">
        <f t="shared" si="69"/>
        <v>1.1568337102386289E-3</v>
      </c>
      <c r="L760">
        <f t="shared" si="70"/>
        <v>-1.8734325146700998E-2</v>
      </c>
      <c r="M760">
        <f t="shared" si="71"/>
        <v>-2.7671593034580558E-2</v>
      </c>
    </row>
    <row r="761" spans="1:13" x14ac:dyDescent="0.2">
      <c r="A761" s="6">
        <v>44838</v>
      </c>
      <c r="B761" s="7">
        <v>12.5</v>
      </c>
      <c r="C761" s="7">
        <v>96.51</v>
      </c>
      <c r="D761" s="7">
        <v>126.72</v>
      </c>
      <c r="E761" s="7">
        <v>115.88</v>
      </c>
      <c r="F761" s="7">
        <v>43.02</v>
      </c>
      <c r="G761" s="7">
        <v>248.17</v>
      </c>
      <c r="H761">
        <f t="shared" si="66"/>
        <v>-5.0693114315518095E-2</v>
      </c>
      <c r="I761">
        <f t="shared" si="67"/>
        <v>-3.9296844778680343E-3</v>
      </c>
      <c r="J761">
        <f t="shared" si="68"/>
        <v>-2.1623730014633094E-2</v>
      </c>
      <c r="K761">
        <f t="shared" si="69"/>
        <v>-4.3978897865125342E-2</v>
      </c>
      <c r="L761">
        <f t="shared" si="70"/>
        <v>-2.0021379860558554E-2</v>
      </c>
      <c r="M761">
        <f t="shared" si="71"/>
        <v>-2.2274943247290187E-2</v>
      </c>
    </row>
    <row r="762" spans="1:13" x14ac:dyDescent="0.2">
      <c r="A762" s="6">
        <v>44837</v>
      </c>
      <c r="B762" s="7">
        <v>12.12</v>
      </c>
      <c r="C762" s="7">
        <v>97.19</v>
      </c>
      <c r="D762" s="7">
        <v>127.75</v>
      </c>
      <c r="E762" s="7">
        <v>113</v>
      </c>
      <c r="F762" s="7">
        <v>42.91</v>
      </c>
      <c r="G762" s="7">
        <v>253.72</v>
      </c>
      <c r="H762">
        <f t="shared" si="66"/>
        <v>-3.0871663667087143E-2</v>
      </c>
      <c r="I762">
        <f t="shared" si="67"/>
        <v>7.0211955963344376E-3</v>
      </c>
      <c r="J762">
        <f t="shared" si="68"/>
        <v>8.0953010176980991E-3</v>
      </c>
      <c r="K762">
        <f t="shared" si="69"/>
        <v>-2.5167354188809058E-2</v>
      </c>
      <c r="L762">
        <f t="shared" si="70"/>
        <v>-2.5602248361507635E-3</v>
      </c>
      <c r="M762">
        <f t="shared" si="71"/>
        <v>2.211730156650352E-2</v>
      </c>
    </row>
    <row r="763" spans="1:13" x14ac:dyDescent="0.2">
      <c r="A763" s="6">
        <v>44834</v>
      </c>
      <c r="B763" s="7">
        <v>12.2</v>
      </c>
      <c r="C763" s="7">
        <v>98</v>
      </c>
      <c r="D763" s="7">
        <v>132.97</v>
      </c>
      <c r="E763" s="7">
        <v>114.8</v>
      </c>
      <c r="F763" s="7">
        <v>43.03</v>
      </c>
      <c r="G763" s="7">
        <v>262.54000000000002</v>
      </c>
      <c r="H763">
        <f t="shared" si="66"/>
        <v>6.5789710980425605E-3</v>
      </c>
      <c r="I763">
        <f t="shared" si="67"/>
        <v>8.2996531551926284E-3</v>
      </c>
      <c r="J763">
        <f t="shared" si="68"/>
        <v>4.0048309784800742E-2</v>
      </c>
      <c r="K763">
        <f t="shared" si="69"/>
        <v>1.5803665173125543E-2</v>
      </c>
      <c r="L763">
        <f t="shared" si="70"/>
        <v>2.7926478470750248E-3</v>
      </c>
      <c r="M763">
        <f t="shared" si="71"/>
        <v>3.4172154609565013E-2</v>
      </c>
    </row>
    <row r="764" spans="1:13" x14ac:dyDescent="0.2">
      <c r="A764" s="6">
        <v>44833</v>
      </c>
      <c r="B764" s="7">
        <v>12.72</v>
      </c>
      <c r="C764" s="7">
        <v>100.73</v>
      </c>
      <c r="D764" s="7">
        <v>132.63</v>
      </c>
      <c r="E764" s="7">
        <v>118.01</v>
      </c>
      <c r="F764" s="7">
        <v>42.14</v>
      </c>
      <c r="G764" s="7">
        <v>259.04000000000002</v>
      </c>
      <c r="H764">
        <f t="shared" si="66"/>
        <v>4.1739606172765342E-2</v>
      </c>
      <c r="I764">
        <f t="shared" si="67"/>
        <v>2.7476191284017782E-2</v>
      </c>
      <c r="J764">
        <f t="shared" si="68"/>
        <v>-2.5602423623529917E-3</v>
      </c>
      <c r="K764">
        <f t="shared" si="69"/>
        <v>2.7577882752191304E-2</v>
      </c>
      <c r="L764">
        <f t="shared" si="70"/>
        <v>-2.0900138474465257E-2</v>
      </c>
      <c r="M764">
        <f t="shared" si="71"/>
        <v>-1.3420961445936375E-2</v>
      </c>
    </row>
    <row r="765" spans="1:13" x14ac:dyDescent="0.2">
      <c r="A765" s="6">
        <v>44832</v>
      </c>
      <c r="B765" s="7">
        <v>12.4</v>
      </c>
      <c r="C765" s="7">
        <v>100.74</v>
      </c>
      <c r="D765" s="7">
        <v>138.22</v>
      </c>
      <c r="E765" s="7">
        <v>114.41</v>
      </c>
      <c r="F765" s="7">
        <v>41.84</v>
      </c>
      <c r="G765" s="7">
        <v>254.59</v>
      </c>
      <c r="H765">
        <f t="shared" si="66"/>
        <v>-2.5479085300984899E-2</v>
      </c>
      <c r="I765">
        <f t="shared" si="67"/>
        <v>9.9270362914592939E-5</v>
      </c>
      <c r="J765">
        <f t="shared" si="68"/>
        <v>4.1283322156986706E-2</v>
      </c>
      <c r="K765">
        <f t="shared" si="69"/>
        <v>-3.0980878924804861E-2</v>
      </c>
      <c r="L765">
        <f t="shared" si="70"/>
        <v>-7.1445886193754488E-3</v>
      </c>
      <c r="M765">
        <f t="shared" si="71"/>
        <v>-1.7328081875114115E-2</v>
      </c>
    </row>
    <row r="766" spans="1:13" x14ac:dyDescent="0.2">
      <c r="A766" s="6">
        <v>44831</v>
      </c>
      <c r="B766" s="7">
        <v>12.21</v>
      </c>
      <c r="C766" s="7">
        <v>100.94</v>
      </c>
      <c r="D766" s="7">
        <v>138.13</v>
      </c>
      <c r="E766" s="7">
        <v>115.15</v>
      </c>
      <c r="F766" s="7">
        <v>42.44</v>
      </c>
      <c r="G766" s="7">
        <v>260.48</v>
      </c>
      <c r="H766">
        <f t="shared" si="66"/>
        <v>-1.5441184488377811E-2</v>
      </c>
      <c r="I766">
        <f t="shared" si="67"/>
        <v>1.9833405946118937E-3</v>
      </c>
      <c r="J766">
        <f t="shared" si="68"/>
        <v>-6.5134795137979649E-4</v>
      </c>
      <c r="K766">
        <f t="shared" si="69"/>
        <v>6.4471385538416642E-3</v>
      </c>
      <c r="L766">
        <f t="shared" si="70"/>
        <v>1.42384939891148E-2</v>
      </c>
      <c r="M766">
        <f t="shared" si="71"/>
        <v>2.2871674759964558E-2</v>
      </c>
    </row>
    <row r="767" spans="1:13" x14ac:dyDescent="0.2">
      <c r="A767" s="6">
        <v>44830</v>
      </c>
      <c r="B767" s="7">
        <v>12.5</v>
      </c>
      <c r="C767" s="7">
        <v>97.96</v>
      </c>
      <c r="D767" s="7">
        <v>139.41999999999999</v>
      </c>
      <c r="E767" s="7">
        <v>113.78</v>
      </c>
      <c r="F767" s="7">
        <v>42.08</v>
      </c>
      <c r="G767" s="7">
        <v>258.36</v>
      </c>
      <c r="H767">
        <f t="shared" si="66"/>
        <v>2.3473356185642048E-2</v>
      </c>
      <c r="I767">
        <f t="shared" si="67"/>
        <v>-2.9967048828149399E-2</v>
      </c>
      <c r="J767">
        <f t="shared" si="68"/>
        <v>9.2956893463841637E-3</v>
      </c>
      <c r="K767">
        <f t="shared" si="69"/>
        <v>-1.1968866944192882E-2</v>
      </c>
      <c r="L767">
        <f t="shared" si="70"/>
        <v>-8.5187453163279893E-3</v>
      </c>
      <c r="M767">
        <f t="shared" si="71"/>
        <v>-8.1721216499035191E-3</v>
      </c>
    </row>
    <row r="768" spans="1:13" x14ac:dyDescent="0.2">
      <c r="A768" s="6">
        <v>44827</v>
      </c>
      <c r="B768" s="7">
        <v>12.55</v>
      </c>
      <c r="C768" s="7">
        <v>94.99</v>
      </c>
      <c r="D768" s="7">
        <v>137.76</v>
      </c>
      <c r="E768" s="7">
        <v>117.31</v>
      </c>
      <c r="F768" s="7">
        <v>42.56</v>
      </c>
      <c r="G768" s="7">
        <v>260.54000000000002</v>
      </c>
      <c r="H768">
        <f t="shared" si="66"/>
        <v>3.9920212695374567E-3</v>
      </c>
      <c r="I768">
        <f t="shared" si="67"/>
        <v>-3.0787609181875918E-2</v>
      </c>
      <c r="J768">
        <f t="shared" si="68"/>
        <v>-1.1977919378831978E-2</v>
      </c>
      <c r="K768">
        <f t="shared" si="69"/>
        <v>3.0553244195127557E-2</v>
      </c>
      <c r="L768">
        <f t="shared" si="70"/>
        <v>1.134227660393451E-2</v>
      </c>
      <c r="M768">
        <f t="shared" si="71"/>
        <v>8.4024391051460614E-3</v>
      </c>
    </row>
    <row r="769" spans="1:13" x14ac:dyDescent="0.2">
      <c r="A769" s="6">
        <v>44826</v>
      </c>
      <c r="B769" s="7">
        <v>13.24</v>
      </c>
      <c r="C769" s="7">
        <v>96.75</v>
      </c>
      <c r="D769" s="7">
        <v>134.85</v>
      </c>
      <c r="E769" s="7">
        <v>118.54</v>
      </c>
      <c r="F769" s="7">
        <v>41.49</v>
      </c>
      <c r="G769" s="7">
        <v>260.14</v>
      </c>
      <c r="H769">
        <f t="shared" si="66"/>
        <v>5.3521884931069297E-2</v>
      </c>
      <c r="I769">
        <f t="shared" si="67"/>
        <v>1.8358709007800213E-2</v>
      </c>
      <c r="J769">
        <f t="shared" si="68"/>
        <v>-2.1349991093681679E-2</v>
      </c>
      <c r="K769">
        <f t="shared" si="69"/>
        <v>1.0430452842063155E-2</v>
      </c>
      <c r="L769">
        <f t="shared" si="70"/>
        <v>-2.546241068861238E-2</v>
      </c>
      <c r="M769">
        <f t="shared" si="71"/>
        <v>-1.5364526338234291E-3</v>
      </c>
    </row>
    <row r="770" spans="1:13" x14ac:dyDescent="0.2">
      <c r="A770" s="6">
        <v>44825</v>
      </c>
      <c r="B770" s="7">
        <v>13.16</v>
      </c>
      <c r="C770" s="7">
        <v>99.36</v>
      </c>
      <c r="D770" s="7">
        <v>135.57</v>
      </c>
      <c r="E770" s="7">
        <v>122.19</v>
      </c>
      <c r="F770" s="7">
        <v>41.24</v>
      </c>
      <c r="G770" s="7">
        <v>261.86</v>
      </c>
      <c r="H770">
        <f t="shared" si="66"/>
        <v>-6.0606246116910699E-3</v>
      </c>
      <c r="I770">
        <f t="shared" si="67"/>
        <v>2.661928627527739E-2</v>
      </c>
      <c r="J770">
        <f t="shared" si="68"/>
        <v>5.3250625055590037E-3</v>
      </c>
      <c r="K770">
        <f t="shared" si="69"/>
        <v>3.032675396873866E-2</v>
      </c>
      <c r="L770">
        <f t="shared" si="70"/>
        <v>-6.0437751960173364E-3</v>
      </c>
      <c r="M770">
        <f t="shared" si="71"/>
        <v>6.5900621640126202E-3</v>
      </c>
    </row>
    <row r="771" spans="1:13" x14ac:dyDescent="0.2">
      <c r="A771" s="6">
        <v>44824</v>
      </c>
      <c r="B771" s="7">
        <v>13.37</v>
      </c>
      <c r="C771" s="7">
        <v>96.83</v>
      </c>
      <c r="D771" s="7">
        <v>140.74</v>
      </c>
      <c r="E771" s="7">
        <v>124.66</v>
      </c>
      <c r="F771" s="7">
        <v>42.24</v>
      </c>
      <c r="G771" s="7">
        <v>267.45</v>
      </c>
      <c r="H771">
        <f t="shared" si="66"/>
        <v>1.5831465216680662E-2</v>
      </c>
      <c r="I771">
        <f t="shared" si="67"/>
        <v>-2.5792754561728953E-2</v>
      </c>
      <c r="J771">
        <f t="shared" si="68"/>
        <v>3.7426104447104924E-2</v>
      </c>
      <c r="K771">
        <f t="shared" si="69"/>
        <v>2.0012821052273592E-2</v>
      </c>
      <c r="L771">
        <f t="shared" si="70"/>
        <v>2.3958980249246892E-2</v>
      </c>
      <c r="M771">
        <f t="shared" si="71"/>
        <v>2.1122623177651692E-2</v>
      </c>
    </row>
    <row r="772" spans="1:13" x14ac:dyDescent="0.2">
      <c r="A772" s="6">
        <v>44823</v>
      </c>
      <c r="B772" s="7">
        <v>13.18</v>
      </c>
      <c r="C772" s="7">
        <v>97.5</v>
      </c>
      <c r="D772" s="7">
        <v>133.58000000000001</v>
      </c>
      <c r="E772" s="7">
        <v>123.53</v>
      </c>
      <c r="F772" s="7">
        <v>42.64</v>
      </c>
      <c r="G772" s="7">
        <v>266.95</v>
      </c>
      <c r="H772">
        <f t="shared" ref="H772:H835" si="72">LN(B772/B771)</f>
        <v>-1.4312862039490656E-2</v>
      </c>
      <c r="I772">
        <f t="shared" ref="I772:I835" si="73">LN(C772/C771)</f>
        <v>6.8955143803616989E-3</v>
      </c>
      <c r="J772">
        <f t="shared" ref="J772:J835" si="74">LN(D772/D771)</f>
        <v>-5.2213667240912934E-2</v>
      </c>
      <c r="K772">
        <f t="shared" ref="K772:K835" si="75">LN(E772/E771)</f>
        <v>-9.1059898319821204E-3</v>
      </c>
      <c r="L772">
        <f t="shared" ref="L772:L835" si="76">LN(F772/F771)</f>
        <v>9.4251404595831131E-3</v>
      </c>
      <c r="M772">
        <f t="shared" ref="M772:M835" si="77">LN(G772/G771)</f>
        <v>-1.871258031063839E-3</v>
      </c>
    </row>
    <row r="773" spans="1:13" x14ac:dyDescent="0.2">
      <c r="A773" s="6">
        <v>44820</v>
      </c>
      <c r="B773" s="7">
        <v>12.91</v>
      </c>
      <c r="C773" s="7">
        <v>98.06</v>
      </c>
      <c r="D773" s="7">
        <v>135.53</v>
      </c>
      <c r="E773" s="7">
        <v>126.28</v>
      </c>
      <c r="F773" s="7">
        <v>43.07</v>
      </c>
      <c r="G773" s="7">
        <v>266.68</v>
      </c>
      <c r="H773">
        <f t="shared" si="72"/>
        <v>-2.0698324215810006E-2</v>
      </c>
      <c r="I773">
        <f t="shared" si="73"/>
        <v>5.7271582192857506E-3</v>
      </c>
      <c r="J773">
        <f t="shared" si="74"/>
        <v>1.4492468730434582E-2</v>
      </c>
      <c r="K773">
        <f t="shared" si="75"/>
        <v>2.2017622141068612E-2</v>
      </c>
      <c r="L773">
        <f t="shared" si="76"/>
        <v>1.0033919208430145E-2</v>
      </c>
      <c r="M773">
        <f t="shared" si="77"/>
        <v>-1.0119371963358695E-3</v>
      </c>
    </row>
    <row r="774" spans="1:13" x14ac:dyDescent="0.2">
      <c r="A774" s="6">
        <v>44819</v>
      </c>
      <c r="B774" s="7">
        <v>13.11</v>
      </c>
      <c r="C774" s="7">
        <v>99.45</v>
      </c>
      <c r="D774" s="7">
        <v>139.55000000000001</v>
      </c>
      <c r="E774" s="7">
        <v>128.55000000000001</v>
      </c>
      <c r="F774" s="7">
        <v>42.52</v>
      </c>
      <c r="G774" s="7">
        <v>261.29000000000002</v>
      </c>
      <c r="H774">
        <f t="shared" si="72"/>
        <v>1.5373092917057303E-2</v>
      </c>
      <c r="I774">
        <f t="shared" si="73"/>
        <v>1.4075469076894026E-2</v>
      </c>
      <c r="J774">
        <f t="shared" si="74"/>
        <v>2.9229941954406698E-2</v>
      </c>
      <c r="K774">
        <f t="shared" si="75"/>
        <v>1.7816270022107603E-2</v>
      </c>
      <c r="L774">
        <f t="shared" si="76"/>
        <v>-1.2852145592271925E-2</v>
      </c>
      <c r="M774">
        <f t="shared" si="77"/>
        <v>-2.041853614313861E-2</v>
      </c>
    </row>
    <row r="775" spans="1:13" x14ac:dyDescent="0.2">
      <c r="A775" s="6">
        <v>44818</v>
      </c>
      <c r="B775" s="7">
        <v>13.11</v>
      </c>
      <c r="C775" s="7">
        <v>98.6</v>
      </c>
      <c r="D775" s="7">
        <v>141.94</v>
      </c>
      <c r="E775" s="7">
        <v>126.82</v>
      </c>
      <c r="F775" s="7">
        <v>41.61</v>
      </c>
      <c r="G775" s="7">
        <v>254.14</v>
      </c>
      <c r="H775">
        <f t="shared" si="72"/>
        <v>0</v>
      </c>
      <c r="I775">
        <f t="shared" si="73"/>
        <v>-8.5837436913915547E-3</v>
      </c>
      <c r="J775">
        <f t="shared" si="74"/>
        <v>1.6981473114505524E-2</v>
      </c>
      <c r="K775">
        <f t="shared" si="75"/>
        <v>-1.354917544001308E-2</v>
      </c>
      <c r="L775">
        <f t="shared" si="76"/>
        <v>-2.1634030478897393E-2</v>
      </c>
      <c r="M775">
        <f t="shared" si="77"/>
        <v>-2.7745605330332344E-2</v>
      </c>
    </row>
    <row r="776" spans="1:13" x14ac:dyDescent="0.2">
      <c r="A776" s="6">
        <v>44817</v>
      </c>
      <c r="B776" s="7">
        <v>14.49</v>
      </c>
      <c r="C776" s="7">
        <v>100.45</v>
      </c>
      <c r="D776" s="7">
        <v>141.25</v>
      </c>
      <c r="E776" s="7">
        <v>136.44999999999999</v>
      </c>
      <c r="F776" s="7">
        <v>42.43</v>
      </c>
      <c r="G776" s="7">
        <v>256.33999999999997</v>
      </c>
      <c r="H776">
        <f t="shared" si="72"/>
        <v>0.10008345855698263</v>
      </c>
      <c r="I776">
        <f t="shared" si="73"/>
        <v>1.8588829652353773E-2</v>
      </c>
      <c r="J776">
        <f t="shared" si="74"/>
        <v>-4.8730630702865721E-3</v>
      </c>
      <c r="K776">
        <f t="shared" si="75"/>
        <v>7.3189488882461781E-2</v>
      </c>
      <c r="L776">
        <f t="shared" si="76"/>
        <v>1.951513621938368E-2</v>
      </c>
      <c r="M776">
        <f t="shared" si="77"/>
        <v>8.6193920252896662E-3</v>
      </c>
    </row>
    <row r="777" spans="1:13" x14ac:dyDescent="0.2">
      <c r="A777" s="6">
        <v>44816</v>
      </c>
      <c r="B777" s="7">
        <v>14.37</v>
      </c>
      <c r="C777" s="7">
        <v>102.36</v>
      </c>
      <c r="D777" s="7">
        <v>145.19</v>
      </c>
      <c r="E777" s="7">
        <v>133.27000000000001</v>
      </c>
      <c r="F777" s="7">
        <v>42.7</v>
      </c>
      <c r="G777" s="7">
        <v>259.89999999999998</v>
      </c>
      <c r="H777">
        <f t="shared" si="72"/>
        <v>-8.3160562416575053E-3</v>
      </c>
      <c r="I777">
        <f t="shared" si="73"/>
        <v>1.8835920030644628E-2</v>
      </c>
      <c r="J777">
        <f t="shared" si="74"/>
        <v>2.7511859469045909E-2</v>
      </c>
      <c r="K777">
        <f t="shared" si="75"/>
        <v>-2.3581101562711766E-2</v>
      </c>
      <c r="L777">
        <f t="shared" si="76"/>
        <v>6.3432610203455345E-3</v>
      </c>
      <c r="M777">
        <f t="shared" si="77"/>
        <v>1.3792253345766612E-2</v>
      </c>
    </row>
    <row r="778" spans="1:13" x14ac:dyDescent="0.2">
      <c r="A778" s="6">
        <v>44813</v>
      </c>
      <c r="B778" s="7">
        <v>13.97</v>
      </c>
      <c r="C778" s="7">
        <v>102.1</v>
      </c>
      <c r="D778" s="7">
        <v>147.11000000000001</v>
      </c>
      <c r="E778" s="7">
        <v>129.82</v>
      </c>
      <c r="F778" s="7">
        <v>42.01</v>
      </c>
      <c r="G778" s="7">
        <v>247.46</v>
      </c>
      <c r="H778">
        <f t="shared" si="72"/>
        <v>-2.8230526822062958E-2</v>
      </c>
      <c r="I778">
        <f t="shared" si="73"/>
        <v>-2.5432861209682897E-3</v>
      </c>
      <c r="J778">
        <f t="shared" si="74"/>
        <v>1.3137376766524218E-2</v>
      </c>
      <c r="K778">
        <f t="shared" si="75"/>
        <v>-2.6228269986313269E-2</v>
      </c>
      <c r="L778">
        <f t="shared" si="76"/>
        <v>-1.6291235053288264E-2</v>
      </c>
      <c r="M778">
        <f t="shared" si="77"/>
        <v>-4.9047988861614794E-2</v>
      </c>
    </row>
    <row r="779" spans="1:13" x14ac:dyDescent="0.2">
      <c r="A779" s="6">
        <v>44811</v>
      </c>
      <c r="B779" s="7">
        <v>13.7</v>
      </c>
      <c r="C779" s="7">
        <v>102.21</v>
      </c>
      <c r="D779" s="7">
        <v>145.38999999999999</v>
      </c>
      <c r="E779" s="7">
        <v>129.47999999999999</v>
      </c>
      <c r="F779" s="7">
        <v>42.13</v>
      </c>
      <c r="G779" s="7">
        <v>245.52</v>
      </c>
      <c r="H779">
        <f t="shared" si="72"/>
        <v>-1.9516340434791328E-2</v>
      </c>
      <c r="I779">
        <f t="shared" si="73"/>
        <v>1.0767951703649179E-3</v>
      </c>
      <c r="J779">
        <f t="shared" si="74"/>
        <v>-1.1760819318786435E-2</v>
      </c>
      <c r="K779">
        <f t="shared" si="75"/>
        <v>-2.622446547278905E-3</v>
      </c>
      <c r="L779">
        <f t="shared" si="76"/>
        <v>2.8523908096346248E-3</v>
      </c>
      <c r="M779">
        <f t="shared" si="77"/>
        <v>-7.8705424743489225E-3</v>
      </c>
    </row>
    <row r="780" spans="1:13" x14ac:dyDescent="0.2">
      <c r="A780" s="6">
        <v>44811</v>
      </c>
      <c r="B780" s="7">
        <v>13.44</v>
      </c>
      <c r="C780" s="7">
        <v>104.28</v>
      </c>
      <c r="D780" s="7">
        <v>148.63</v>
      </c>
      <c r="E780" s="7">
        <v>126.11</v>
      </c>
      <c r="F780" s="7">
        <v>41.72</v>
      </c>
      <c r="G780" s="7">
        <v>249.53</v>
      </c>
      <c r="H780">
        <f t="shared" si="72"/>
        <v>-1.9160497739075744E-2</v>
      </c>
      <c r="I780">
        <f t="shared" si="73"/>
        <v>2.0050068724316101E-2</v>
      </c>
      <c r="J780">
        <f t="shared" si="74"/>
        <v>2.2040209217469339E-2</v>
      </c>
      <c r="K780">
        <f t="shared" si="75"/>
        <v>-2.6371887090260403E-2</v>
      </c>
      <c r="L780">
        <f t="shared" si="76"/>
        <v>-9.7794458583535492E-3</v>
      </c>
      <c r="M780">
        <f t="shared" si="77"/>
        <v>1.6200738132747281E-2</v>
      </c>
    </row>
    <row r="781" spans="1:13" x14ac:dyDescent="0.2">
      <c r="A781" s="6">
        <v>44810</v>
      </c>
      <c r="B781" s="7">
        <v>13.63</v>
      </c>
      <c r="C781" s="7">
        <v>103.61</v>
      </c>
      <c r="D781" s="7">
        <v>150.54</v>
      </c>
      <c r="E781" s="7">
        <v>127.51</v>
      </c>
      <c r="F781" s="7">
        <v>42.79</v>
      </c>
      <c r="G781" s="7">
        <v>247.88</v>
      </c>
      <c r="H781">
        <f t="shared" si="72"/>
        <v>1.4037910613437876E-2</v>
      </c>
      <c r="I781">
        <f t="shared" si="73"/>
        <v>-6.4457388016406214E-3</v>
      </c>
      <c r="J781">
        <f t="shared" si="74"/>
        <v>1.2768833445582415E-2</v>
      </c>
      <c r="K781">
        <f t="shared" si="75"/>
        <v>1.1040250927667548E-2</v>
      </c>
      <c r="L781">
        <f t="shared" si="76"/>
        <v>2.5323800296153717E-2</v>
      </c>
      <c r="M781">
        <f t="shared" si="77"/>
        <v>-6.6343903503213392E-3</v>
      </c>
    </row>
    <row r="782" spans="1:13" x14ac:dyDescent="0.2">
      <c r="A782" s="6">
        <v>44806</v>
      </c>
      <c r="B782" s="7">
        <v>13.92</v>
      </c>
      <c r="C782" s="7">
        <v>110.1</v>
      </c>
      <c r="D782" s="7">
        <v>152.19</v>
      </c>
      <c r="E782" s="7">
        <v>127.82</v>
      </c>
      <c r="F782" s="7">
        <v>43.24</v>
      </c>
      <c r="G782" s="7">
        <v>250.11</v>
      </c>
      <c r="H782">
        <f t="shared" si="72"/>
        <v>2.1053409197832263E-2</v>
      </c>
      <c r="I782">
        <f t="shared" si="73"/>
        <v>6.0755193464973808E-2</v>
      </c>
      <c r="J782">
        <f t="shared" si="74"/>
        <v>1.0900910640322397E-2</v>
      </c>
      <c r="K782">
        <f t="shared" si="75"/>
        <v>2.4282313266850279E-3</v>
      </c>
      <c r="L782">
        <f t="shared" si="76"/>
        <v>1.0461562342282113E-2</v>
      </c>
      <c r="M782">
        <f t="shared" si="77"/>
        <v>8.9560629967250574E-3</v>
      </c>
    </row>
    <row r="783" spans="1:13" x14ac:dyDescent="0.2">
      <c r="A783" s="6">
        <v>44805</v>
      </c>
      <c r="B783" s="7">
        <v>15.07</v>
      </c>
      <c r="C783" s="7">
        <v>109.89</v>
      </c>
      <c r="D783" s="7">
        <v>167.92</v>
      </c>
      <c r="E783" s="7">
        <v>126.77</v>
      </c>
      <c r="F783" s="7">
        <v>42.84</v>
      </c>
      <c r="G783" s="7">
        <v>252.51</v>
      </c>
      <c r="H783">
        <f t="shared" si="72"/>
        <v>7.9379357732130562E-2</v>
      </c>
      <c r="I783">
        <f t="shared" si="73"/>
        <v>-1.9091782698015571E-3</v>
      </c>
      <c r="J783">
        <f t="shared" si="74"/>
        <v>9.8357935265669216E-2</v>
      </c>
      <c r="K783">
        <f t="shared" si="75"/>
        <v>-8.2486032715004265E-3</v>
      </c>
      <c r="L783">
        <f t="shared" si="76"/>
        <v>-9.2937471914594939E-3</v>
      </c>
      <c r="M783">
        <f t="shared" si="77"/>
        <v>9.550030800962556E-3</v>
      </c>
    </row>
    <row r="784" spans="1:13" x14ac:dyDescent="0.2">
      <c r="A784" s="6">
        <v>44804</v>
      </c>
      <c r="B784" s="7">
        <v>15.44</v>
      </c>
      <c r="C784" s="7">
        <v>107.64</v>
      </c>
      <c r="D784" s="7">
        <v>168.11</v>
      </c>
      <c r="E784" s="7">
        <v>128.72999999999999</v>
      </c>
      <c r="F784" s="7">
        <v>43.09</v>
      </c>
      <c r="G784" s="7">
        <v>258.26</v>
      </c>
      <c r="H784">
        <f t="shared" si="72"/>
        <v>2.4255531958225864E-2</v>
      </c>
      <c r="I784">
        <f t="shared" si="73"/>
        <v>-2.0687539600127636E-2</v>
      </c>
      <c r="J784">
        <f t="shared" si="74"/>
        <v>1.1308515325899793E-3</v>
      </c>
      <c r="K784">
        <f t="shared" si="75"/>
        <v>1.5342766720907687E-2</v>
      </c>
      <c r="L784">
        <f t="shared" si="76"/>
        <v>5.8187060481985952E-3</v>
      </c>
      <c r="M784">
        <f t="shared" si="77"/>
        <v>2.2515977526911164E-2</v>
      </c>
    </row>
    <row r="785" spans="1:13" x14ac:dyDescent="0.2">
      <c r="A785" s="6">
        <v>44803</v>
      </c>
      <c r="B785" s="7">
        <v>15.78</v>
      </c>
      <c r="C785" s="7">
        <v>108.7</v>
      </c>
      <c r="D785" s="7">
        <v>161.07</v>
      </c>
      <c r="E785" s="7">
        <v>129.79</v>
      </c>
      <c r="F785" s="7">
        <v>42.73</v>
      </c>
      <c r="G785" s="7">
        <v>254.17</v>
      </c>
      <c r="H785">
        <f t="shared" si="72"/>
        <v>2.1781770821098147E-2</v>
      </c>
      <c r="I785">
        <f t="shared" si="73"/>
        <v>9.7994682684588268E-3</v>
      </c>
      <c r="J785">
        <f t="shared" si="74"/>
        <v>-4.2779473942379596E-2</v>
      </c>
      <c r="K785">
        <f t="shared" si="75"/>
        <v>8.2005720281245753E-3</v>
      </c>
      <c r="L785">
        <f t="shared" si="76"/>
        <v>-8.389701971813171E-3</v>
      </c>
      <c r="M785">
        <f t="shared" si="77"/>
        <v>-1.5963494936947795E-2</v>
      </c>
    </row>
    <row r="786" spans="1:13" x14ac:dyDescent="0.2">
      <c r="A786" s="6">
        <v>44802</v>
      </c>
      <c r="B786" s="7">
        <v>16.23</v>
      </c>
      <c r="C786" s="7">
        <v>106.08</v>
      </c>
      <c r="D786" s="7">
        <v>159.41</v>
      </c>
      <c r="E786" s="7">
        <v>130.75</v>
      </c>
      <c r="F786" s="7">
        <v>42.82</v>
      </c>
      <c r="G786" s="7">
        <v>250.09</v>
      </c>
      <c r="H786">
        <f t="shared" si="72"/>
        <v>2.8118066108771628E-2</v>
      </c>
      <c r="I786">
        <f t="shared" si="73"/>
        <v>-2.4398267689611407E-2</v>
      </c>
      <c r="J786">
        <f t="shared" si="74"/>
        <v>-1.0359553457032517E-2</v>
      </c>
      <c r="K786">
        <f t="shared" si="75"/>
        <v>7.3693432453648296E-3</v>
      </c>
      <c r="L786">
        <f t="shared" si="76"/>
        <v>2.1040335056032996E-3</v>
      </c>
      <c r="M786">
        <f t="shared" si="77"/>
        <v>-1.6182481403763455E-2</v>
      </c>
    </row>
    <row r="787" spans="1:13" x14ac:dyDescent="0.2">
      <c r="A787" s="6">
        <v>44799</v>
      </c>
      <c r="B787" s="7">
        <v>17.89</v>
      </c>
      <c r="C787" s="7">
        <v>107.11</v>
      </c>
      <c r="D787" s="7">
        <v>157.57</v>
      </c>
      <c r="E787" s="7">
        <v>137.28</v>
      </c>
      <c r="F787" s="7">
        <v>43.28</v>
      </c>
      <c r="G787" s="7">
        <v>254.51</v>
      </c>
      <c r="H787">
        <f t="shared" si="72"/>
        <v>9.7380515994128045E-2</v>
      </c>
      <c r="I787">
        <f t="shared" si="73"/>
        <v>9.6628173389858747E-3</v>
      </c>
      <c r="J787">
        <f t="shared" si="74"/>
        <v>-1.1609695671601116E-2</v>
      </c>
      <c r="K787">
        <f t="shared" si="75"/>
        <v>4.8735532794619944E-2</v>
      </c>
      <c r="L787">
        <f t="shared" si="76"/>
        <v>1.0685351376689432E-2</v>
      </c>
      <c r="M787">
        <f t="shared" si="77"/>
        <v>1.7519274871688771E-2</v>
      </c>
    </row>
    <row r="788" spans="1:13" x14ac:dyDescent="0.2">
      <c r="A788" s="6">
        <v>44798</v>
      </c>
      <c r="B788" s="7">
        <v>17.2</v>
      </c>
      <c r="C788" s="7">
        <v>108.99</v>
      </c>
      <c r="D788" s="7">
        <v>159.34</v>
      </c>
      <c r="E788" s="7">
        <v>133.80000000000001</v>
      </c>
      <c r="F788" s="7">
        <v>43.38</v>
      </c>
      <c r="G788" s="7">
        <v>255.97</v>
      </c>
      <c r="H788">
        <f t="shared" si="72"/>
        <v>-3.9332513701220512E-2</v>
      </c>
      <c r="I788">
        <f t="shared" si="73"/>
        <v>1.7399791124681922E-2</v>
      </c>
      <c r="J788">
        <f t="shared" si="74"/>
        <v>1.117047997826584E-2</v>
      </c>
      <c r="K788">
        <f t="shared" si="75"/>
        <v>-2.5676488045524033E-2</v>
      </c>
      <c r="L788">
        <f t="shared" si="76"/>
        <v>2.3078708605022116E-3</v>
      </c>
      <c r="M788">
        <f t="shared" si="77"/>
        <v>5.7201221630878724E-3</v>
      </c>
    </row>
    <row r="789" spans="1:13" x14ac:dyDescent="0.2">
      <c r="A789" s="6">
        <v>44797</v>
      </c>
      <c r="B789" s="7">
        <v>17.149999999999999</v>
      </c>
      <c r="C789" s="7">
        <v>107.48</v>
      </c>
      <c r="D789" s="7">
        <v>164.35</v>
      </c>
      <c r="E789" s="7">
        <v>133.62</v>
      </c>
      <c r="F789" s="7">
        <v>44.29</v>
      </c>
      <c r="G789" s="7">
        <v>274.02999999999997</v>
      </c>
      <c r="H789">
        <f t="shared" si="72"/>
        <v>-2.9112102074584415E-3</v>
      </c>
      <c r="I789">
        <f t="shared" si="73"/>
        <v>-1.3951351153929687E-2</v>
      </c>
      <c r="J789">
        <f t="shared" si="74"/>
        <v>3.0958016158008271E-2</v>
      </c>
      <c r="K789">
        <f t="shared" si="75"/>
        <v>-1.3461971967968444E-3</v>
      </c>
      <c r="L789">
        <f t="shared" si="76"/>
        <v>2.0760412536378434E-2</v>
      </c>
      <c r="M789">
        <f t="shared" si="77"/>
        <v>6.8177339333105366E-2</v>
      </c>
    </row>
    <row r="790" spans="1:13" x14ac:dyDescent="0.2">
      <c r="A790" s="6">
        <v>44796</v>
      </c>
      <c r="B790" s="7">
        <v>17.010000000000002</v>
      </c>
      <c r="C790" s="7">
        <v>108.19</v>
      </c>
      <c r="D790" s="7">
        <v>161.93</v>
      </c>
      <c r="E790" s="7">
        <v>133.22</v>
      </c>
      <c r="F790" s="7">
        <v>43.9</v>
      </c>
      <c r="G790" s="7">
        <v>276.08999999999997</v>
      </c>
      <c r="H790">
        <f t="shared" si="72"/>
        <v>-8.1967672041784023E-3</v>
      </c>
      <c r="I790">
        <f t="shared" si="73"/>
        <v>6.5841569521915789E-3</v>
      </c>
      <c r="J790">
        <f t="shared" si="74"/>
        <v>-1.483415702484886E-2</v>
      </c>
      <c r="K790">
        <f t="shared" si="75"/>
        <v>-2.9980535122978926E-3</v>
      </c>
      <c r="L790">
        <f t="shared" si="76"/>
        <v>-8.8445978539811905E-3</v>
      </c>
      <c r="M790">
        <f t="shared" si="77"/>
        <v>7.489310073198749E-3</v>
      </c>
    </row>
    <row r="791" spans="1:13" x14ac:dyDescent="0.2">
      <c r="A791" s="6">
        <v>44795</v>
      </c>
      <c r="B791" s="7">
        <v>17.82</v>
      </c>
      <c r="C791" s="7">
        <v>108.67</v>
      </c>
      <c r="D791" s="7">
        <v>156.19999999999999</v>
      </c>
      <c r="E791" s="7">
        <v>138.22999999999999</v>
      </c>
      <c r="F791" s="7">
        <v>43.77</v>
      </c>
      <c r="G791" s="7">
        <v>276.20999999999998</v>
      </c>
      <c r="H791">
        <f t="shared" si="72"/>
        <v>4.6520015634892699E-2</v>
      </c>
      <c r="I791">
        <f t="shared" si="73"/>
        <v>4.4268263752781749E-3</v>
      </c>
      <c r="J791">
        <f t="shared" si="74"/>
        <v>-3.6026905679793921E-2</v>
      </c>
      <c r="K791">
        <f t="shared" si="75"/>
        <v>3.69170674912324E-2</v>
      </c>
      <c r="L791">
        <f t="shared" si="76"/>
        <v>-2.9656688783215712E-3</v>
      </c>
      <c r="M791">
        <f t="shared" si="77"/>
        <v>4.3454644898891664E-4</v>
      </c>
    </row>
    <row r="792" spans="1:13" x14ac:dyDescent="0.2">
      <c r="A792" s="6">
        <v>44792</v>
      </c>
      <c r="B792" s="7">
        <v>18.739999999999998</v>
      </c>
      <c r="C792" s="7">
        <v>109.58</v>
      </c>
      <c r="D792" s="7">
        <v>158.19</v>
      </c>
      <c r="E792" s="7">
        <v>142.30000000000001</v>
      </c>
      <c r="F792" s="7">
        <v>43.55</v>
      </c>
      <c r="G792" s="7">
        <v>273.97000000000003</v>
      </c>
      <c r="H792">
        <f t="shared" si="72"/>
        <v>5.0338854767612864E-2</v>
      </c>
      <c r="I792">
        <f t="shared" si="73"/>
        <v>8.3391090355094295E-3</v>
      </c>
      <c r="J792">
        <f t="shared" si="74"/>
        <v>1.2659604804902648E-2</v>
      </c>
      <c r="K792">
        <f t="shared" si="75"/>
        <v>2.9018540619540879E-2</v>
      </c>
      <c r="L792">
        <f t="shared" si="76"/>
        <v>-5.0389479042923071E-3</v>
      </c>
      <c r="M792">
        <f t="shared" si="77"/>
        <v>-8.1428346252524295E-3</v>
      </c>
    </row>
    <row r="793" spans="1:13" x14ac:dyDescent="0.2">
      <c r="A793" s="6">
        <v>44791</v>
      </c>
      <c r="B793" s="7">
        <v>18.309999999999999</v>
      </c>
      <c r="C793" s="7">
        <v>115.85</v>
      </c>
      <c r="D793" s="7">
        <v>160.79</v>
      </c>
      <c r="E793" s="7">
        <v>142.1</v>
      </c>
      <c r="F793" s="7">
        <v>42.46</v>
      </c>
      <c r="G793" s="7">
        <v>266.66000000000003</v>
      </c>
      <c r="H793">
        <f t="shared" si="72"/>
        <v>-2.3212918123856813E-2</v>
      </c>
      <c r="I793">
        <f t="shared" si="73"/>
        <v>5.5641374768115454E-2</v>
      </c>
      <c r="J793">
        <f t="shared" si="74"/>
        <v>1.6302323545832127E-2</v>
      </c>
      <c r="K793">
        <f t="shared" si="75"/>
        <v>-1.4064699927518244E-3</v>
      </c>
      <c r="L793">
        <f t="shared" si="76"/>
        <v>-2.5347247023401652E-2</v>
      </c>
      <c r="M793">
        <f t="shared" si="77"/>
        <v>-2.7044172655299226E-2</v>
      </c>
    </row>
    <row r="794" spans="1:13" x14ac:dyDescent="0.2">
      <c r="A794" s="6">
        <v>44790</v>
      </c>
      <c r="B794" s="7">
        <v>18.850000000000001</v>
      </c>
      <c r="C794" s="7">
        <v>112.91</v>
      </c>
      <c r="D794" s="7">
        <v>167.75</v>
      </c>
      <c r="E794" s="7">
        <v>144.78</v>
      </c>
      <c r="F794" s="7">
        <v>42.67</v>
      </c>
      <c r="G794" s="7">
        <v>268.83999999999997</v>
      </c>
      <c r="H794">
        <f t="shared" si="72"/>
        <v>2.9065555207600503E-2</v>
      </c>
      <c r="I794">
        <f t="shared" si="73"/>
        <v>-2.5705209685954449E-2</v>
      </c>
      <c r="J794">
        <f t="shared" si="74"/>
        <v>4.2375610095471035E-2</v>
      </c>
      <c r="K794">
        <f t="shared" si="75"/>
        <v>1.8684313761940553E-2</v>
      </c>
      <c r="L794">
        <f t="shared" si="76"/>
        <v>4.9336409247985385E-3</v>
      </c>
      <c r="M794">
        <f t="shared" si="77"/>
        <v>8.1419684144525446E-3</v>
      </c>
    </row>
    <row r="795" spans="1:13" x14ac:dyDescent="0.2">
      <c r="A795" s="6">
        <v>44789</v>
      </c>
      <c r="B795" s="7">
        <v>19</v>
      </c>
      <c r="C795" s="7">
        <v>113.08</v>
      </c>
      <c r="D795" s="7">
        <v>162.26</v>
      </c>
      <c r="E795" s="7">
        <v>143.18</v>
      </c>
      <c r="F795" s="7">
        <v>43.14</v>
      </c>
      <c r="G795" s="7">
        <v>270.19</v>
      </c>
      <c r="H795">
        <f t="shared" si="72"/>
        <v>7.9260652724207226E-3</v>
      </c>
      <c r="I795">
        <f t="shared" si="73"/>
        <v>1.5044916329587626E-3</v>
      </c>
      <c r="J795">
        <f t="shared" si="74"/>
        <v>-3.3274788884872321E-2</v>
      </c>
      <c r="K795">
        <f t="shared" si="75"/>
        <v>-1.1112768896956345E-2</v>
      </c>
      <c r="L795">
        <f t="shared" si="76"/>
        <v>1.0954543761101778E-2</v>
      </c>
      <c r="M795">
        <f t="shared" si="77"/>
        <v>5.0090081169586083E-3</v>
      </c>
    </row>
    <row r="796" spans="1:13" x14ac:dyDescent="0.2">
      <c r="A796" s="6">
        <v>44785</v>
      </c>
      <c r="B796" s="7">
        <v>17.91</v>
      </c>
      <c r="C796" s="7">
        <v>116.41</v>
      </c>
      <c r="D796" s="7">
        <v>162.05000000000001</v>
      </c>
      <c r="E796" s="7">
        <v>140.63999999999999</v>
      </c>
      <c r="F796" s="7">
        <v>42.5</v>
      </c>
      <c r="G796" s="7">
        <v>265.63</v>
      </c>
      <c r="H796">
        <f t="shared" si="72"/>
        <v>-5.9079763093820098E-2</v>
      </c>
      <c r="I796">
        <f t="shared" si="73"/>
        <v>2.9022909434760016E-2</v>
      </c>
      <c r="J796">
        <f t="shared" si="74"/>
        <v>-1.2950573793624714E-3</v>
      </c>
      <c r="K796">
        <f t="shared" si="75"/>
        <v>-1.7899146031172184E-2</v>
      </c>
      <c r="L796">
        <f t="shared" si="76"/>
        <v>-1.4946565030639155E-2</v>
      </c>
      <c r="M796">
        <f t="shared" si="77"/>
        <v>-1.7021052187791083E-2</v>
      </c>
    </row>
    <row r="797" spans="1:13" x14ac:dyDescent="0.2">
      <c r="A797" s="6">
        <v>44784</v>
      </c>
      <c r="B797" s="7">
        <v>18.07</v>
      </c>
      <c r="C797" s="7">
        <v>119.35</v>
      </c>
      <c r="D797" s="7">
        <v>166.93</v>
      </c>
      <c r="E797" s="7">
        <v>142.69</v>
      </c>
      <c r="F797" s="7">
        <v>42.63</v>
      </c>
      <c r="G797" s="7">
        <v>268.19</v>
      </c>
      <c r="H797">
        <f t="shared" si="72"/>
        <v>8.893888531516729E-3</v>
      </c>
      <c r="I797">
        <f t="shared" si="73"/>
        <v>2.4941910524689529E-2</v>
      </c>
      <c r="J797">
        <f t="shared" si="74"/>
        <v>2.9669633279740343E-2</v>
      </c>
      <c r="K797">
        <f t="shared" si="75"/>
        <v>1.4471011005616987E-2</v>
      </c>
      <c r="L797">
        <f t="shared" si="76"/>
        <v>3.054154846747831E-3</v>
      </c>
      <c r="M797">
        <f t="shared" si="77"/>
        <v>9.591321513764503E-3</v>
      </c>
    </row>
    <row r="798" spans="1:13" x14ac:dyDescent="0.2">
      <c r="A798" s="6">
        <v>44783</v>
      </c>
      <c r="B798" s="7">
        <v>17.059999999999999</v>
      </c>
      <c r="C798" s="7">
        <v>118.73</v>
      </c>
      <c r="D798" s="7">
        <v>173.59</v>
      </c>
      <c r="E798" s="7">
        <v>137.83000000000001</v>
      </c>
      <c r="F798" s="7">
        <v>42.22</v>
      </c>
      <c r="G798" s="7">
        <v>271.14</v>
      </c>
      <c r="H798">
        <f t="shared" si="72"/>
        <v>-5.7516562540604214E-2</v>
      </c>
      <c r="I798">
        <f t="shared" si="73"/>
        <v>-5.2083451071381235E-3</v>
      </c>
      <c r="J798">
        <f t="shared" si="74"/>
        <v>3.9121634013161134E-2</v>
      </c>
      <c r="K798">
        <f t="shared" si="75"/>
        <v>-3.4653403236136263E-2</v>
      </c>
      <c r="L798">
        <f t="shared" si="76"/>
        <v>-9.6641883569444937E-3</v>
      </c>
      <c r="M798">
        <f t="shared" si="77"/>
        <v>1.0939608106546168E-2</v>
      </c>
    </row>
    <row r="799" spans="1:13" x14ac:dyDescent="0.2">
      <c r="A799" s="6">
        <v>44782</v>
      </c>
      <c r="B799" s="7">
        <v>17.77</v>
      </c>
      <c r="C799" s="7">
        <v>120.87</v>
      </c>
      <c r="D799" s="7">
        <v>173.78</v>
      </c>
      <c r="E799" s="7">
        <v>139.41</v>
      </c>
      <c r="F799" s="7">
        <v>43.59</v>
      </c>
      <c r="G799" s="7">
        <v>272.77</v>
      </c>
      <c r="H799">
        <f t="shared" si="72"/>
        <v>4.0775100103026908E-2</v>
      </c>
      <c r="I799">
        <f t="shared" si="73"/>
        <v>1.7863580193664831E-2</v>
      </c>
      <c r="J799">
        <f t="shared" si="74"/>
        <v>1.0939345306021108E-3</v>
      </c>
      <c r="K799">
        <f t="shared" si="75"/>
        <v>1.139819005864905E-2</v>
      </c>
      <c r="L799">
        <f t="shared" si="76"/>
        <v>3.1933723830126798E-2</v>
      </c>
      <c r="M799">
        <f t="shared" si="77"/>
        <v>5.9936565963589396E-3</v>
      </c>
    </row>
    <row r="800" spans="1:13" x14ac:dyDescent="0.2">
      <c r="A800" s="6">
        <v>44781</v>
      </c>
      <c r="B800" s="7">
        <v>18.96</v>
      </c>
      <c r="C800" s="7">
        <v>121.24</v>
      </c>
      <c r="D800" s="7">
        <v>178.37</v>
      </c>
      <c r="E800" s="7">
        <v>140.80000000000001</v>
      </c>
      <c r="F800" s="7">
        <v>43.3</v>
      </c>
      <c r="G800" s="7">
        <v>283.45999999999998</v>
      </c>
      <c r="H800">
        <f t="shared" si="72"/>
        <v>6.4819854660315854E-2</v>
      </c>
      <c r="I800">
        <f t="shared" si="73"/>
        <v>3.0564643182366372E-3</v>
      </c>
      <c r="J800">
        <f t="shared" si="74"/>
        <v>2.6069913159152126E-2</v>
      </c>
      <c r="K800">
        <f t="shared" si="75"/>
        <v>9.9212119589454795E-3</v>
      </c>
      <c r="L800">
        <f t="shared" si="76"/>
        <v>-6.6751312418572096E-3</v>
      </c>
      <c r="M800">
        <f t="shared" si="77"/>
        <v>3.8442070491157068E-2</v>
      </c>
    </row>
    <row r="801" spans="1:13" x14ac:dyDescent="0.2">
      <c r="A801" s="6">
        <v>44778</v>
      </c>
      <c r="B801" s="7">
        <v>19.190000000000001</v>
      </c>
      <c r="C801" s="7">
        <v>120.85</v>
      </c>
      <c r="D801" s="7">
        <v>179.78</v>
      </c>
      <c r="E801" s="7">
        <v>142.57</v>
      </c>
      <c r="F801" s="7">
        <v>42.99</v>
      </c>
      <c r="G801" s="7">
        <v>281.93</v>
      </c>
      <c r="H801">
        <f t="shared" si="72"/>
        <v>1.2057813192732789E-2</v>
      </c>
      <c r="I801">
        <f t="shared" si="73"/>
        <v>-3.221945040110359E-3</v>
      </c>
      <c r="J801">
        <f t="shared" si="74"/>
        <v>7.8738365750412476E-3</v>
      </c>
      <c r="K801">
        <f t="shared" si="75"/>
        <v>1.2492663441927438E-2</v>
      </c>
      <c r="L801">
        <f t="shared" si="76"/>
        <v>-7.1851045002538317E-3</v>
      </c>
      <c r="M801">
        <f t="shared" si="77"/>
        <v>-5.4122065644089112E-3</v>
      </c>
    </row>
    <row r="802" spans="1:13" x14ac:dyDescent="0.2">
      <c r="A802" s="6">
        <v>44777</v>
      </c>
      <c r="B802" s="7">
        <v>18.86</v>
      </c>
      <c r="C802" s="7">
        <v>118.03</v>
      </c>
      <c r="D802" s="7">
        <v>179.39</v>
      </c>
      <c r="E802" s="7">
        <v>139.52000000000001</v>
      </c>
      <c r="F802" s="7">
        <v>43.17</v>
      </c>
      <c r="G802" s="7">
        <v>280.82</v>
      </c>
      <c r="H802">
        <f t="shared" si="72"/>
        <v>-1.734603281429721E-2</v>
      </c>
      <c r="I802">
        <f t="shared" si="73"/>
        <v>-2.3611277708514317E-2</v>
      </c>
      <c r="J802">
        <f t="shared" si="74"/>
        <v>-2.1716744342540773E-3</v>
      </c>
      <c r="K802">
        <f t="shared" si="75"/>
        <v>-2.1625147005199935E-2</v>
      </c>
      <c r="L802">
        <f t="shared" si="76"/>
        <v>4.1782790591959581E-3</v>
      </c>
      <c r="M802">
        <f t="shared" si="77"/>
        <v>-3.9449184878541828E-3</v>
      </c>
    </row>
    <row r="803" spans="1:13" x14ac:dyDescent="0.2">
      <c r="A803" s="6">
        <v>44776</v>
      </c>
      <c r="B803" s="7">
        <v>18.5</v>
      </c>
      <c r="C803" s="7">
        <v>118.88</v>
      </c>
      <c r="D803" s="7">
        <v>176.4</v>
      </c>
      <c r="E803" s="7">
        <v>134.16</v>
      </c>
      <c r="F803" s="7">
        <v>43.96</v>
      </c>
      <c r="G803" s="7">
        <v>285.68</v>
      </c>
      <c r="H803">
        <f t="shared" si="72"/>
        <v>-1.9272545121032249E-2</v>
      </c>
      <c r="I803">
        <f t="shared" si="73"/>
        <v>7.1757515284713797E-3</v>
      </c>
      <c r="J803">
        <f t="shared" si="74"/>
        <v>-1.680806313830812E-2</v>
      </c>
      <c r="K803">
        <f t="shared" si="75"/>
        <v>-3.9174842645716149E-2</v>
      </c>
      <c r="L803">
        <f t="shared" si="76"/>
        <v>1.8134319968034374E-2</v>
      </c>
      <c r="M803">
        <f t="shared" si="77"/>
        <v>1.715840859969681E-2</v>
      </c>
    </row>
    <row r="804" spans="1:13" x14ac:dyDescent="0.2">
      <c r="A804" s="6">
        <v>44775</v>
      </c>
      <c r="B804" s="7">
        <v>18.41</v>
      </c>
      <c r="C804" s="7">
        <v>115.83</v>
      </c>
      <c r="D804" s="7">
        <v>177.25</v>
      </c>
      <c r="E804" s="7">
        <v>135.38999999999999</v>
      </c>
      <c r="F804" s="7">
        <v>44.61</v>
      </c>
      <c r="G804" s="7">
        <v>294.02</v>
      </c>
      <c r="H804">
        <f t="shared" si="72"/>
        <v>-4.8767368392925968E-3</v>
      </c>
      <c r="I804">
        <f t="shared" si="73"/>
        <v>-2.5990982025194335E-2</v>
      </c>
      <c r="J804">
        <f t="shared" si="74"/>
        <v>4.8070218395459673E-3</v>
      </c>
      <c r="K804">
        <f t="shared" si="75"/>
        <v>9.126384992065981E-3</v>
      </c>
      <c r="L804">
        <f t="shared" si="76"/>
        <v>1.4677919604752756E-2</v>
      </c>
      <c r="M804">
        <f t="shared" si="77"/>
        <v>2.8775488949627014E-2</v>
      </c>
    </row>
    <row r="805" spans="1:13" x14ac:dyDescent="0.2">
      <c r="A805" s="6">
        <v>44774</v>
      </c>
      <c r="B805" s="7">
        <v>18.13</v>
      </c>
      <c r="C805" s="7">
        <v>116.5</v>
      </c>
      <c r="D805" s="7">
        <v>167.5</v>
      </c>
      <c r="E805" s="7">
        <v>134.94999999999999</v>
      </c>
      <c r="F805" s="7">
        <v>44.76</v>
      </c>
      <c r="G805" s="7">
        <v>297.57</v>
      </c>
      <c r="H805">
        <f t="shared" si="72"/>
        <v>-1.5325970478226821E-2</v>
      </c>
      <c r="I805">
        <f t="shared" si="73"/>
        <v>5.7676740615005264E-3</v>
      </c>
      <c r="J805">
        <f t="shared" si="74"/>
        <v>-5.6577814147115782E-2</v>
      </c>
      <c r="K805">
        <f t="shared" si="75"/>
        <v>-3.2551630430058638E-3</v>
      </c>
      <c r="L805">
        <f t="shared" si="76"/>
        <v>3.3568343035510874E-3</v>
      </c>
      <c r="M805">
        <f t="shared" si="77"/>
        <v>1.2001699190191865E-2</v>
      </c>
    </row>
    <row r="806" spans="1:13" x14ac:dyDescent="0.2">
      <c r="A806" s="6">
        <v>44771</v>
      </c>
      <c r="B806" s="7">
        <v>17.96</v>
      </c>
      <c r="C806" s="7">
        <v>116.67</v>
      </c>
      <c r="D806" s="7">
        <v>169.21</v>
      </c>
      <c r="E806" s="7">
        <v>122.28</v>
      </c>
      <c r="F806" s="7">
        <v>44.71</v>
      </c>
      <c r="G806" s="7">
        <v>298.08</v>
      </c>
      <c r="H806">
        <f t="shared" si="72"/>
        <v>-9.4209618927059962E-3</v>
      </c>
      <c r="I806">
        <f t="shared" si="73"/>
        <v>1.4581638300103258E-3</v>
      </c>
      <c r="J806">
        <f t="shared" si="74"/>
        <v>1.0157195815414181E-2</v>
      </c>
      <c r="K806">
        <f t="shared" si="75"/>
        <v>-9.859084244137982E-2</v>
      </c>
      <c r="L806">
        <f t="shared" si="76"/>
        <v>-1.1176931978351284E-3</v>
      </c>
      <c r="M806">
        <f t="shared" si="77"/>
        <v>1.71241542726619E-3</v>
      </c>
    </row>
    <row r="807" spans="1:13" x14ac:dyDescent="0.2">
      <c r="A807" s="6">
        <v>44770</v>
      </c>
      <c r="B807" s="7">
        <v>17.760000000000002</v>
      </c>
      <c r="C807" s="7">
        <v>117.38</v>
      </c>
      <c r="D807" s="7">
        <v>166.09</v>
      </c>
      <c r="E807" s="7">
        <v>120.97</v>
      </c>
      <c r="F807" s="7">
        <v>42.54</v>
      </c>
      <c r="G807" s="7">
        <v>299.56</v>
      </c>
      <c r="H807">
        <f t="shared" si="72"/>
        <v>-1.119832531002945E-2</v>
      </c>
      <c r="I807">
        <f t="shared" si="73"/>
        <v>6.067098294422809E-3</v>
      </c>
      <c r="J807">
        <f t="shared" si="74"/>
        <v>-1.861073696962786E-2</v>
      </c>
      <c r="K807">
        <f t="shared" si="75"/>
        <v>-1.0770916050876872E-2</v>
      </c>
      <c r="L807">
        <f t="shared" si="76"/>
        <v>-4.975238047379818E-2</v>
      </c>
      <c r="M807">
        <f t="shared" si="77"/>
        <v>4.9528245278880334E-3</v>
      </c>
    </row>
    <row r="808" spans="1:13" x14ac:dyDescent="0.2">
      <c r="A808" s="6">
        <v>44769</v>
      </c>
      <c r="B808" s="7">
        <v>16.510000000000002</v>
      </c>
      <c r="C808" s="7">
        <v>117.27</v>
      </c>
      <c r="D808" s="7">
        <v>169.52</v>
      </c>
      <c r="E808" s="7">
        <v>114.81</v>
      </c>
      <c r="F808" s="7">
        <v>42.42</v>
      </c>
      <c r="G808" s="7">
        <v>287.88</v>
      </c>
      <c r="H808">
        <f t="shared" si="72"/>
        <v>-7.298247963198734E-2</v>
      </c>
      <c r="I808">
        <f t="shared" si="73"/>
        <v>-9.375666572152986E-4</v>
      </c>
      <c r="J808">
        <f t="shared" si="74"/>
        <v>2.0441103849136139E-2</v>
      </c>
      <c r="K808">
        <f t="shared" si="75"/>
        <v>-5.2263992866036259E-2</v>
      </c>
      <c r="L808">
        <f t="shared" si="76"/>
        <v>-2.8248606355546274E-3</v>
      </c>
      <c r="M808">
        <f t="shared" si="77"/>
        <v>-3.9771004741562886E-2</v>
      </c>
    </row>
    <row r="809" spans="1:13" x14ac:dyDescent="0.2">
      <c r="A809" s="6">
        <v>44767</v>
      </c>
      <c r="B809" s="7">
        <v>17.29</v>
      </c>
      <c r="C809" s="7">
        <v>114.07</v>
      </c>
      <c r="D809" s="7">
        <v>159.21</v>
      </c>
      <c r="E809" s="7">
        <v>122.42</v>
      </c>
      <c r="F809" s="7">
        <v>41.65</v>
      </c>
      <c r="G809" s="7">
        <v>284.29000000000002</v>
      </c>
      <c r="H809">
        <f t="shared" si="72"/>
        <v>4.6162041763162409E-2</v>
      </c>
      <c r="I809">
        <f t="shared" si="73"/>
        <v>-2.76666734331667E-2</v>
      </c>
      <c r="J809">
        <f t="shared" si="74"/>
        <v>-6.2746828452130324E-2</v>
      </c>
      <c r="K809">
        <f t="shared" si="75"/>
        <v>6.4179167317203092E-2</v>
      </c>
      <c r="L809">
        <f t="shared" si="76"/>
        <v>-1.8318580523684746E-2</v>
      </c>
      <c r="M809">
        <f t="shared" si="77"/>
        <v>-1.2548882713126618E-2</v>
      </c>
    </row>
    <row r="810" spans="1:13" x14ac:dyDescent="0.2">
      <c r="A810" s="6">
        <v>44764</v>
      </c>
      <c r="B810" s="7">
        <v>18.02</v>
      </c>
      <c r="C810" s="7">
        <v>115.52</v>
      </c>
      <c r="D810" s="7">
        <v>158.94999999999999</v>
      </c>
      <c r="E810" s="7">
        <v>124.63</v>
      </c>
      <c r="F810" s="7">
        <v>41.25</v>
      </c>
      <c r="G810" s="7">
        <v>285.10000000000002</v>
      </c>
      <c r="H810">
        <f t="shared" si="72"/>
        <v>4.1353952484992726E-2</v>
      </c>
      <c r="I810">
        <f t="shared" si="73"/>
        <v>1.2631380104709541E-2</v>
      </c>
      <c r="J810">
        <f t="shared" si="74"/>
        <v>-1.6343981511016644E-3</v>
      </c>
      <c r="K810">
        <f t="shared" si="75"/>
        <v>1.7891592415361736E-2</v>
      </c>
      <c r="L810">
        <f t="shared" si="76"/>
        <v>-9.6502558321617041E-3</v>
      </c>
      <c r="M810">
        <f t="shared" si="77"/>
        <v>2.8451519921494093E-3</v>
      </c>
    </row>
    <row r="811" spans="1:13" x14ac:dyDescent="0.2">
      <c r="A811" s="6">
        <v>44763</v>
      </c>
      <c r="B811" s="7">
        <v>17.78</v>
      </c>
      <c r="C811" s="7">
        <v>113.44</v>
      </c>
      <c r="D811" s="7">
        <v>158.13</v>
      </c>
      <c r="E811" s="7">
        <v>122.77</v>
      </c>
      <c r="F811" s="7">
        <v>41.16</v>
      </c>
      <c r="G811" s="7">
        <v>279.27</v>
      </c>
      <c r="H811">
        <f t="shared" si="72"/>
        <v>-1.3408022094433267E-2</v>
      </c>
      <c r="I811">
        <f t="shared" si="73"/>
        <v>-1.8169612360698667E-2</v>
      </c>
      <c r="J811">
        <f t="shared" si="74"/>
        <v>-5.1722078215864628E-3</v>
      </c>
      <c r="K811">
        <f t="shared" si="75"/>
        <v>-1.5036661645536886E-2</v>
      </c>
      <c r="L811">
        <f t="shared" si="76"/>
        <v>-2.1842018148412368E-3</v>
      </c>
      <c r="M811">
        <f t="shared" si="77"/>
        <v>-2.0660940122118235E-2</v>
      </c>
    </row>
    <row r="812" spans="1:13" x14ac:dyDescent="0.2">
      <c r="A812" s="6">
        <v>44762</v>
      </c>
      <c r="B812" s="7">
        <v>16.97</v>
      </c>
      <c r="C812" s="7">
        <v>112.29</v>
      </c>
      <c r="D812" s="7">
        <v>159.74</v>
      </c>
      <c r="E812" s="7">
        <v>118.21</v>
      </c>
      <c r="F812" s="7">
        <v>40.76</v>
      </c>
      <c r="G812" s="7">
        <v>285.45999999999998</v>
      </c>
      <c r="H812">
        <f t="shared" si="72"/>
        <v>-4.6627150839623654E-2</v>
      </c>
      <c r="I812">
        <f t="shared" si="73"/>
        <v>-1.0189252199369964E-2</v>
      </c>
      <c r="J812">
        <f t="shared" si="74"/>
        <v>1.0130013954017816E-2</v>
      </c>
      <c r="K812">
        <f t="shared" si="75"/>
        <v>-3.7849982430463031E-2</v>
      </c>
      <c r="L812">
        <f t="shared" si="76"/>
        <v>-9.7657026113247888E-3</v>
      </c>
      <c r="M812">
        <f t="shared" si="77"/>
        <v>2.1922858405114171E-2</v>
      </c>
    </row>
    <row r="813" spans="1:13" x14ac:dyDescent="0.2">
      <c r="A813" s="6">
        <v>44761</v>
      </c>
      <c r="B813" s="7">
        <v>16.079999999999998</v>
      </c>
      <c r="C813" s="7">
        <v>104.3</v>
      </c>
      <c r="D813" s="7">
        <v>168.54</v>
      </c>
      <c r="E813" s="7">
        <v>113.76</v>
      </c>
      <c r="F813" s="7">
        <v>40.43</v>
      </c>
      <c r="G813" s="7">
        <v>283.37</v>
      </c>
      <c r="H813">
        <f t="shared" si="72"/>
        <v>-5.3870815495314715E-2</v>
      </c>
      <c r="I813">
        <f t="shared" si="73"/>
        <v>-7.3813448577720667E-2</v>
      </c>
      <c r="J813">
        <f t="shared" si="74"/>
        <v>5.3625616854964302E-2</v>
      </c>
      <c r="K813">
        <f t="shared" si="75"/>
        <v>-3.8371737707354685E-2</v>
      </c>
      <c r="L813">
        <f t="shared" si="76"/>
        <v>-8.1291247018445163E-3</v>
      </c>
      <c r="M813">
        <f t="shared" si="77"/>
        <v>-7.3484499936440247E-3</v>
      </c>
    </row>
    <row r="814" spans="1:13" x14ac:dyDescent="0.2">
      <c r="A814" s="6">
        <v>44760</v>
      </c>
      <c r="B814" s="7">
        <v>15.74</v>
      </c>
      <c r="C814" s="7">
        <v>106.77</v>
      </c>
      <c r="D814" s="7">
        <v>158.16999999999999</v>
      </c>
      <c r="E814" s="7">
        <v>113.55</v>
      </c>
      <c r="F814" s="7">
        <v>40.11</v>
      </c>
      <c r="G814" s="7">
        <v>281.07</v>
      </c>
      <c r="H814">
        <f t="shared" si="72"/>
        <v>-2.1371020761563074E-2</v>
      </c>
      <c r="I814">
        <f t="shared" si="73"/>
        <v>2.3405626183484241E-2</v>
      </c>
      <c r="J814">
        <f t="shared" si="74"/>
        <v>-6.3502706368809891E-2</v>
      </c>
      <c r="K814">
        <f t="shared" si="75"/>
        <v>-1.8476975033633193E-3</v>
      </c>
      <c r="L814">
        <f t="shared" si="76"/>
        <v>-7.9464038707180596E-3</v>
      </c>
      <c r="M814">
        <f t="shared" si="77"/>
        <v>-8.1497155767717641E-3</v>
      </c>
    </row>
    <row r="815" spans="1:13" x14ac:dyDescent="0.2">
      <c r="A815" s="6">
        <v>44757</v>
      </c>
      <c r="B815" s="7">
        <v>15.35</v>
      </c>
      <c r="C815" s="7">
        <v>107.16</v>
      </c>
      <c r="D815" s="7">
        <v>165.63</v>
      </c>
      <c r="E815" s="7">
        <v>110.63</v>
      </c>
      <c r="F815" s="7">
        <v>41.68</v>
      </c>
      <c r="G815" s="7">
        <v>280.33999999999997</v>
      </c>
      <c r="H815">
        <f t="shared" si="72"/>
        <v>-2.5089768956051098E-2</v>
      </c>
      <c r="I815">
        <f t="shared" si="73"/>
        <v>3.6460564861969034E-3</v>
      </c>
      <c r="J815">
        <f t="shared" si="74"/>
        <v>4.6085980988665627E-2</v>
      </c>
      <c r="K815">
        <f t="shared" si="75"/>
        <v>-2.6051968504747967E-2</v>
      </c>
      <c r="L815">
        <f t="shared" si="76"/>
        <v>3.839571766314992E-2</v>
      </c>
      <c r="M815">
        <f t="shared" si="77"/>
        <v>-2.6005963962950234E-3</v>
      </c>
    </row>
    <row r="816" spans="1:13" x14ac:dyDescent="0.2">
      <c r="A816" s="6">
        <v>44756</v>
      </c>
      <c r="B816" s="7">
        <v>15.14</v>
      </c>
      <c r="C816" s="7">
        <v>113.56</v>
      </c>
      <c r="D816" s="7">
        <v>168.23</v>
      </c>
      <c r="E816" s="7">
        <v>110.4</v>
      </c>
      <c r="F816" s="7">
        <v>42.38</v>
      </c>
      <c r="G816" s="7">
        <v>275.16000000000003</v>
      </c>
      <c r="H816">
        <f t="shared" si="72"/>
        <v>-1.3775226023903381E-2</v>
      </c>
      <c r="I816">
        <f t="shared" si="73"/>
        <v>5.8008286928362511E-2</v>
      </c>
      <c r="J816">
        <f t="shared" si="74"/>
        <v>1.5575705767006056E-2</v>
      </c>
      <c r="K816">
        <f t="shared" si="75"/>
        <v>-2.0811662038245117E-3</v>
      </c>
      <c r="L816">
        <f t="shared" si="76"/>
        <v>1.6655155395041608E-2</v>
      </c>
      <c r="M816">
        <f t="shared" si="77"/>
        <v>-1.8650405577098138E-2</v>
      </c>
    </row>
    <row r="817" spans="1:13" x14ac:dyDescent="0.2">
      <c r="A817" s="6">
        <v>44755</v>
      </c>
      <c r="B817" s="7">
        <v>15.06</v>
      </c>
      <c r="C817" s="7">
        <v>113.12</v>
      </c>
      <c r="D817" s="7">
        <v>182.05</v>
      </c>
      <c r="E817" s="7">
        <v>109.22</v>
      </c>
      <c r="F817" s="7">
        <v>42.34</v>
      </c>
      <c r="G817" s="7">
        <v>279.83</v>
      </c>
      <c r="H817">
        <f t="shared" si="72"/>
        <v>-5.2980256375551611E-3</v>
      </c>
      <c r="I817">
        <f t="shared" si="73"/>
        <v>-3.88212945650783E-3</v>
      </c>
      <c r="J817">
        <f t="shared" si="74"/>
        <v>7.8949283890373603E-2</v>
      </c>
      <c r="K817">
        <f t="shared" si="75"/>
        <v>-1.0745937118987357E-2</v>
      </c>
      <c r="L817">
        <f t="shared" si="76"/>
        <v>-9.4428713343392551E-4</v>
      </c>
      <c r="M817">
        <f t="shared" si="77"/>
        <v>1.6829529268432581E-2</v>
      </c>
    </row>
    <row r="818" spans="1:13" x14ac:dyDescent="0.2">
      <c r="A818" s="6">
        <v>44754</v>
      </c>
      <c r="B818" s="7">
        <v>15.13</v>
      </c>
      <c r="C818" s="7">
        <v>113.03</v>
      </c>
      <c r="D818" s="7">
        <v>181.97</v>
      </c>
      <c r="E818" s="7">
        <v>111.75</v>
      </c>
      <c r="F818" s="7">
        <v>42.18</v>
      </c>
      <c r="G818" s="7">
        <v>275.37</v>
      </c>
      <c r="H818">
        <f t="shared" si="72"/>
        <v>4.6373054285170278E-3</v>
      </c>
      <c r="I818">
        <f t="shared" si="73"/>
        <v>-7.9593194562287508E-4</v>
      </c>
      <c r="J818">
        <f t="shared" si="74"/>
        <v>-4.3953629629115993E-4</v>
      </c>
      <c r="K818">
        <f t="shared" si="75"/>
        <v>2.2900036769670635E-2</v>
      </c>
      <c r="L818">
        <f t="shared" si="76"/>
        <v>-3.786090656090695E-3</v>
      </c>
      <c r="M818">
        <f t="shared" si="77"/>
        <v>-1.6066628027136688E-2</v>
      </c>
    </row>
    <row r="819" spans="1:13" x14ac:dyDescent="0.2">
      <c r="A819" s="6">
        <v>44750</v>
      </c>
      <c r="B819" s="7">
        <v>15.83</v>
      </c>
      <c r="C819" s="7">
        <v>108.28</v>
      </c>
      <c r="D819" s="7">
        <v>166.21</v>
      </c>
      <c r="E819" s="7">
        <v>116.33</v>
      </c>
      <c r="F819" s="7">
        <v>40.43</v>
      </c>
      <c r="G819" s="7">
        <v>273.51</v>
      </c>
      <c r="H819">
        <f t="shared" si="72"/>
        <v>4.5227346092656273E-2</v>
      </c>
      <c r="I819">
        <f t="shared" si="73"/>
        <v>-4.2932805456539269E-2</v>
      </c>
      <c r="J819">
        <f t="shared" si="74"/>
        <v>-9.0589789242132568E-2</v>
      </c>
      <c r="K819">
        <f t="shared" si="75"/>
        <v>4.0166746334996804E-2</v>
      </c>
      <c r="L819">
        <f t="shared" si="76"/>
        <v>-4.2374091397949031E-2</v>
      </c>
      <c r="M819">
        <f t="shared" si="77"/>
        <v>-6.777463634188287E-3</v>
      </c>
    </row>
    <row r="820" spans="1:13" x14ac:dyDescent="0.2">
      <c r="A820" s="6">
        <v>44749</v>
      </c>
      <c r="B820" s="7">
        <v>15.11</v>
      </c>
      <c r="C820" s="7">
        <v>111.01</v>
      </c>
      <c r="D820" s="7">
        <v>163.69</v>
      </c>
      <c r="E820" s="7">
        <v>114.33</v>
      </c>
      <c r="F820" s="7">
        <v>38.96</v>
      </c>
      <c r="G820" s="7">
        <v>272.83999999999997</v>
      </c>
      <c r="H820">
        <f t="shared" si="72"/>
        <v>-4.6550097608272611E-2</v>
      </c>
      <c r="I820">
        <f t="shared" si="73"/>
        <v>2.4899822598455332E-2</v>
      </c>
      <c r="J820">
        <f t="shared" si="74"/>
        <v>-1.5277653926755563E-2</v>
      </c>
      <c r="K820">
        <f t="shared" si="75"/>
        <v>-1.7341976274796483E-2</v>
      </c>
      <c r="L820">
        <f t="shared" si="76"/>
        <v>-3.703660487834514E-2</v>
      </c>
      <c r="M820">
        <f t="shared" si="77"/>
        <v>-2.4526414784025665E-3</v>
      </c>
    </row>
    <row r="821" spans="1:13" x14ac:dyDescent="0.2">
      <c r="A821" s="6">
        <v>44748</v>
      </c>
      <c r="B821" s="7">
        <v>14.94</v>
      </c>
      <c r="C821" s="7">
        <v>109.61</v>
      </c>
      <c r="D821" s="7">
        <v>157.08000000000001</v>
      </c>
      <c r="E821" s="7">
        <v>113.5</v>
      </c>
      <c r="F821" s="7">
        <v>42.17</v>
      </c>
      <c r="G821" s="7">
        <v>280.13</v>
      </c>
      <c r="H821">
        <f t="shared" si="72"/>
        <v>-1.131459657997695E-2</v>
      </c>
      <c r="I821">
        <f t="shared" si="73"/>
        <v>-1.2691676116923749E-2</v>
      </c>
      <c r="J821">
        <f t="shared" si="74"/>
        <v>-4.1219165446454258E-2</v>
      </c>
      <c r="K821">
        <f t="shared" si="75"/>
        <v>-7.2861666324211946E-3</v>
      </c>
      <c r="L821">
        <f t="shared" si="76"/>
        <v>7.9173588984134055E-2</v>
      </c>
      <c r="M821">
        <f t="shared" si="77"/>
        <v>2.636823834975369E-2</v>
      </c>
    </row>
    <row r="822" spans="1:13" x14ac:dyDescent="0.2">
      <c r="A822" s="6">
        <v>44747</v>
      </c>
      <c r="B822" s="7">
        <v>14.5</v>
      </c>
      <c r="C822" s="7">
        <v>110.59</v>
      </c>
      <c r="D822" s="7">
        <v>162.49</v>
      </c>
      <c r="E822" s="7">
        <v>109.56</v>
      </c>
      <c r="F822" s="7">
        <v>42.23</v>
      </c>
      <c r="G822" s="7">
        <v>280.54000000000002</v>
      </c>
      <c r="H822">
        <f t="shared" si="72"/>
        <v>-2.9893530278142448E-2</v>
      </c>
      <c r="I822">
        <f t="shared" si="73"/>
        <v>8.9010578596367042E-3</v>
      </c>
      <c r="J822">
        <f t="shared" si="74"/>
        <v>3.3861231704876107E-2</v>
      </c>
      <c r="K822">
        <f t="shared" si="75"/>
        <v>-3.5330492526579972E-2</v>
      </c>
      <c r="L822">
        <f t="shared" si="76"/>
        <v>1.4218011873835654E-3</v>
      </c>
      <c r="M822">
        <f t="shared" si="77"/>
        <v>1.4625361552532174E-3</v>
      </c>
    </row>
    <row r="823" spans="1:13" x14ac:dyDescent="0.2">
      <c r="A823" s="6">
        <v>44743</v>
      </c>
      <c r="B823" s="7">
        <v>15.14</v>
      </c>
      <c r="C823" s="7">
        <v>113.24</v>
      </c>
      <c r="D823" s="7">
        <v>162.27000000000001</v>
      </c>
      <c r="E823" s="7">
        <v>106.21</v>
      </c>
      <c r="F823" s="7">
        <v>42.34</v>
      </c>
      <c r="G823" s="7">
        <v>279.08</v>
      </c>
      <c r="H823">
        <f t="shared" si="72"/>
        <v>4.3191598582773959E-2</v>
      </c>
      <c r="I823">
        <f t="shared" si="73"/>
        <v>2.3679791156430072E-2</v>
      </c>
      <c r="J823">
        <f t="shared" si="74"/>
        <v>-1.35484686323964E-3</v>
      </c>
      <c r="K823">
        <f t="shared" si="75"/>
        <v>-3.1054078061429197E-2</v>
      </c>
      <c r="L823">
        <f t="shared" si="76"/>
        <v>2.6013967608669386E-3</v>
      </c>
      <c r="M823">
        <f t="shared" si="77"/>
        <v>-5.2178382204896992E-3</v>
      </c>
    </row>
    <row r="824" spans="1:13" x14ac:dyDescent="0.2">
      <c r="A824" s="6">
        <v>44742</v>
      </c>
      <c r="B824" s="7">
        <v>15.52</v>
      </c>
      <c r="C824" s="7">
        <v>114.88</v>
      </c>
      <c r="D824" s="7">
        <v>161.88</v>
      </c>
      <c r="E824" s="7">
        <v>108.92</v>
      </c>
      <c r="F824" s="7">
        <v>41.73</v>
      </c>
      <c r="G824" s="7">
        <v>276.61</v>
      </c>
      <c r="H824">
        <f t="shared" si="72"/>
        <v>2.4789266745769856E-2</v>
      </c>
      <c r="I824">
        <f t="shared" si="73"/>
        <v>1.4378645056215162E-2</v>
      </c>
      <c r="J824">
        <f t="shared" si="74"/>
        <v>-2.406294543780608E-3</v>
      </c>
      <c r="K824">
        <f t="shared" si="75"/>
        <v>2.5195401472110662E-2</v>
      </c>
      <c r="L824">
        <f t="shared" si="76"/>
        <v>-1.4511971103258052E-2</v>
      </c>
      <c r="M824">
        <f t="shared" si="77"/>
        <v>-8.889907203942872E-3</v>
      </c>
    </row>
    <row r="825" spans="1:13" x14ac:dyDescent="0.2">
      <c r="A825" s="6">
        <v>44741</v>
      </c>
      <c r="B825" s="7">
        <v>15.96</v>
      </c>
      <c r="C825" s="7">
        <v>118.54</v>
      </c>
      <c r="D825" s="7">
        <v>169.83</v>
      </c>
      <c r="E825" s="7">
        <v>107.4</v>
      </c>
      <c r="F825" s="7">
        <v>41.38</v>
      </c>
      <c r="G825" s="7">
        <v>274.35000000000002</v>
      </c>
      <c r="H825">
        <f t="shared" si="72"/>
        <v>2.7956077266590135E-2</v>
      </c>
      <c r="I825">
        <f t="shared" si="73"/>
        <v>3.1362351059778068E-2</v>
      </c>
      <c r="J825">
        <f t="shared" si="74"/>
        <v>4.7942616709013459E-2</v>
      </c>
      <c r="K825">
        <f t="shared" si="75"/>
        <v>-1.4053485730794483E-2</v>
      </c>
      <c r="L825">
        <f t="shared" si="76"/>
        <v>-8.4226222860640902E-3</v>
      </c>
      <c r="M825">
        <f t="shared" si="77"/>
        <v>-8.2039083621083427E-3</v>
      </c>
    </row>
    <row r="826" spans="1:13" x14ac:dyDescent="0.2">
      <c r="A826" s="6">
        <v>44740</v>
      </c>
      <c r="B826" s="7">
        <v>16.84</v>
      </c>
      <c r="C826" s="7">
        <v>117.97</v>
      </c>
      <c r="D826" s="7">
        <v>171.13</v>
      </c>
      <c r="E826" s="7">
        <v>113.22</v>
      </c>
      <c r="F826" s="7">
        <v>41.13</v>
      </c>
      <c r="G826" s="7">
        <v>268.14999999999998</v>
      </c>
      <c r="H826">
        <f t="shared" si="72"/>
        <v>5.367141679251785E-2</v>
      </c>
      <c r="I826">
        <f t="shared" si="73"/>
        <v>-4.8201015059410662E-3</v>
      </c>
      <c r="J826">
        <f t="shared" si="74"/>
        <v>7.625564872682053E-3</v>
      </c>
      <c r="K826">
        <f t="shared" si="75"/>
        <v>5.2772646533749405E-2</v>
      </c>
      <c r="L826">
        <f t="shared" si="76"/>
        <v>-6.0598900750643099E-3</v>
      </c>
      <c r="M826">
        <f t="shared" si="77"/>
        <v>-2.2858138076050322E-2</v>
      </c>
    </row>
    <row r="827" spans="1:13" x14ac:dyDescent="0.2">
      <c r="A827" s="6">
        <v>44739</v>
      </c>
      <c r="B827" s="7">
        <v>17.100000000000001</v>
      </c>
      <c r="C827" s="7">
        <v>113.79</v>
      </c>
      <c r="D827" s="7">
        <v>168.73</v>
      </c>
      <c r="E827" s="7">
        <v>116.46</v>
      </c>
      <c r="F827" s="7">
        <v>41.23</v>
      </c>
      <c r="G827" s="7">
        <v>267.56</v>
      </c>
      <c r="H827">
        <f t="shared" si="72"/>
        <v>1.5321454694433651E-2</v>
      </c>
      <c r="I827">
        <f t="shared" si="73"/>
        <v>-3.6075710484833733E-2</v>
      </c>
      <c r="J827">
        <f t="shared" si="74"/>
        <v>-1.4123697379114364E-2</v>
      </c>
      <c r="K827">
        <f t="shared" si="75"/>
        <v>2.8215037800460099E-2</v>
      </c>
      <c r="L827">
        <f t="shared" si="76"/>
        <v>2.4283644764756954E-3</v>
      </c>
      <c r="M827">
        <f t="shared" si="77"/>
        <v>-2.2026851787267814E-3</v>
      </c>
    </row>
    <row r="828" spans="1:13" x14ac:dyDescent="0.2">
      <c r="A828" s="6">
        <v>44736</v>
      </c>
      <c r="B828" s="7">
        <v>16.2</v>
      </c>
      <c r="C828" s="7">
        <v>112.49</v>
      </c>
      <c r="D828" s="7">
        <v>167.16</v>
      </c>
      <c r="E828" s="7">
        <v>112.44</v>
      </c>
      <c r="F828" s="7">
        <v>40.83</v>
      </c>
      <c r="G828" s="7">
        <v>264.88</v>
      </c>
      <c r="H828">
        <f t="shared" si="72"/>
        <v>-5.4067221270275939E-2</v>
      </c>
      <c r="I828">
        <f t="shared" si="73"/>
        <v>-1.1490315564182807E-2</v>
      </c>
      <c r="J828">
        <f t="shared" si="74"/>
        <v>-9.3483666305314139E-3</v>
      </c>
      <c r="K828">
        <f t="shared" si="75"/>
        <v>-3.5128120370642689E-2</v>
      </c>
      <c r="L828">
        <f t="shared" si="76"/>
        <v>-9.749041387324164E-3</v>
      </c>
      <c r="M828">
        <f t="shared" si="77"/>
        <v>-1.0066947011216465E-2</v>
      </c>
    </row>
    <row r="829" spans="1:13" x14ac:dyDescent="0.2">
      <c r="A829" s="6">
        <v>44735</v>
      </c>
      <c r="B829" s="7">
        <v>16.329999999999998</v>
      </c>
      <c r="C829" s="7">
        <v>107.99</v>
      </c>
      <c r="D829" s="7">
        <v>159.05000000000001</v>
      </c>
      <c r="E829" s="7">
        <v>108.95</v>
      </c>
      <c r="F829" s="7">
        <v>40.049999999999997</v>
      </c>
      <c r="G829" s="7">
        <v>262.77999999999997</v>
      </c>
      <c r="H829">
        <f t="shared" si="72"/>
        <v>7.9926647440353004E-3</v>
      </c>
      <c r="I829">
        <f t="shared" si="73"/>
        <v>-4.0825698560066188E-2</v>
      </c>
      <c r="J829">
        <f t="shared" si="74"/>
        <v>-4.9732819384561484E-2</v>
      </c>
      <c r="K829">
        <f t="shared" si="75"/>
        <v>-3.1530684647702249E-2</v>
      </c>
      <c r="L829">
        <f t="shared" si="76"/>
        <v>-1.9288431817116192E-2</v>
      </c>
      <c r="M829">
        <f t="shared" si="77"/>
        <v>-7.9597130253148025E-3</v>
      </c>
    </row>
    <row r="830" spans="1:13" x14ac:dyDescent="0.2">
      <c r="A830" s="6">
        <v>44734</v>
      </c>
      <c r="B830" s="7">
        <v>16.54</v>
      </c>
      <c r="C830" s="7">
        <v>108.22</v>
      </c>
      <c r="D830" s="7">
        <v>160.26</v>
      </c>
      <c r="E830" s="7">
        <v>108.68</v>
      </c>
      <c r="F830" s="7">
        <v>39.950000000000003</v>
      </c>
      <c r="G830" s="7">
        <v>260.89</v>
      </c>
      <c r="H830">
        <f t="shared" si="72"/>
        <v>1.2777782613171466E-2</v>
      </c>
      <c r="I830">
        <f t="shared" si="73"/>
        <v>2.12756196992079E-3</v>
      </c>
      <c r="J830">
        <f t="shared" si="74"/>
        <v>7.5788781547711705E-3</v>
      </c>
      <c r="K830">
        <f t="shared" si="75"/>
        <v>-2.481276832481802E-3</v>
      </c>
      <c r="L830">
        <f t="shared" si="76"/>
        <v>-2.500001302084449E-3</v>
      </c>
      <c r="M830">
        <f t="shared" si="77"/>
        <v>-7.218317667195627E-3</v>
      </c>
    </row>
    <row r="831" spans="1:13" x14ac:dyDescent="0.2">
      <c r="A831" s="6">
        <v>44733</v>
      </c>
      <c r="B831" s="7">
        <v>15.86</v>
      </c>
      <c r="C831" s="7">
        <v>110.94</v>
      </c>
      <c r="D831" s="7">
        <v>162.94</v>
      </c>
      <c r="E831" s="7">
        <v>106.22</v>
      </c>
      <c r="F831" s="7">
        <v>40.07</v>
      </c>
      <c r="G831" s="7">
        <v>262.05</v>
      </c>
      <c r="H831">
        <f t="shared" si="72"/>
        <v>-4.1981473388843255E-2</v>
      </c>
      <c r="I831">
        <f t="shared" si="73"/>
        <v>2.4823322412499196E-2</v>
      </c>
      <c r="J831">
        <f t="shared" si="74"/>
        <v>1.6584538532571209E-2</v>
      </c>
      <c r="K831">
        <f t="shared" si="75"/>
        <v>-2.289536956389393E-2</v>
      </c>
      <c r="L831">
        <f t="shared" si="76"/>
        <v>2.999252435769362E-3</v>
      </c>
      <c r="M831">
        <f t="shared" si="77"/>
        <v>4.4364627016949612E-3</v>
      </c>
    </row>
    <row r="832" spans="1:13" x14ac:dyDescent="0.2">
      <c r="A832" s="6">
        <v>44729</v>
      </c>
      <c r="B832" s="7">
        <v>15.58</v>
      </c>
      <c r="C832" s="7">
        <v>111.24</v>
      </c>
      <c r="D832" s="7">
        <v>159.69999999999999</v>
      </c>
      <c r="E832" s="7">
        <v>103.66</v>
      </c>
      <c r="F832" s="7">
        <v>40.049999999999997</v>
      </c>
      <c r="G832" s="7">
        <v>262.13</v>
      </c>
      <c r="H832">
        <f t="shared" si="72"/>
        <v>-1.7812175764099662E-2</v>
      </c>
      <c r="I832">
        <f t="shared" si="73"/>
        <v>2.7005147386755025E-3</v>
      </c>
      <c r="J832">
        <f t="shared" si="74"/>
        <v>-2.0084979661528994E-2</v>
      </c>
      <c r="K832">
        <f t="shared" si="75"/>
        <v>-2.4396102232692573E-2</v>
      </c>
      <c r="L832">
        <f t="shared" si="76"/>
        <v>-4.9925113368505503E-4</v>
      </c>
      <c r="M832">
        <f t="shared" si="77"/>
        <v>3.0523866084594925E-4</v>
      </c>
    </row>
    <row r="833" spans="1:13" x14ac:dyDescent="0.2">
      <c r="A833" s="6">
        <v>44728</v>
      </c>
      <c r="B833" s="7">
        <v>16.5</v>
      </c>
      <c r="C833" s="7">
        <v>115.04</v>
      </c>
      <c r="D833" s="7">
        <v>168.45</v>
      </c>
      <c r="E833" s="7">
        <v>107.67</v>
      </c>
      <c r="F833" s="7">
        <v>40.03</v>
      </c>
      <c r="G833" s="7">
        <v>262.33</v>
      </c>
      <c r="H833">
        <f t="shared" si="72"/>
        <v>5.7372340463932713E-2</v>
      </c>
      <c r="I833">
        <f t="shared" si="73"/>
        <v>3.358986460697256E-2</v>
      </c>
      <c r="J833">
        <f t="shared" si="74"/>
        <v>5.3341914631595086E-2</v>
      </c>
      <c r="K833">
        <f t="shared" si="75"/>
        <v>3.795468106606506E-2</v>
      </c>
      <c r="L833">
        <f t="shared" si="76"/>
        <v>-4.9950050988591349E-4</v>
      </c>
      <c r="M833">
        <f t="shared" si="77"/>
        <v>7.6268927923916054E-4</v>
      </c>
    </row>
    <row r="834" spans="1:13" x14ac:dyDescent="0.2">
      <c r="A834" s="6">
        <v>44727</v>
      </c>
      <c r="B834" s="7">
        <v>15.81</v>
      </c>
      <c r="C834" s="7">
        <v>117.17</v>
      </c>
      <c r="D834" s="7">
        <v>169.12</v>
      </c>
      <c r="E834" s="7">
        <v>102.31</v>
      </c>
      <c r="F834" s="7">
        <v>39.97</v>
      </c>
      <c r="G834" s="7">
        <v>259.48</v>
      </c>
      <c r="H834">
        <f t="shared" si="72"/>
        <v>-4.2717729685154207E-2</v>
      </c>
      <c r="I834">
        <f t="shared" si="73"/>
        <v>1.8345977707327515E-2</v>
      </c>
      <c r="J834">
        <f t="shared" si="74"/>
        <v>3.9695522693656438E-3</v>
      </c>
      <c r="K834">
        <f t="shared" si="75"/>
        <v>-5.1063573936777025E-2</v>
      </c>
      <c r="L834">
        <f t="shared" si="76"/>
        <v>-1.5000002812501306E-3</v>
      </c>
      <c r="M834">
        <f t="shared" si="77"/>
        <v>-1.0923624843405779E-2</v>
      </c>
    </row>
    <row r="835" spans="1:13" x14ac:dyDescent="0.2">
      <c r="A835" s="6">
        <v>44726</v>
      </c>
      <c r="B835" s="7">
        <v>15.62</v>
      </c>
      <c r="C835" s="7">
        <v>111.47</v>
      </c>
      <c r="D835" s="7">
        <v>157.78</v>
      </c>
      <c r="E835" s="7">
        <v>103.67</v>
      </c>
      <c r="F835" s="7">
        <v>39.69</v>
      </c>
      <c r="G835" s="7">
        <v>259.62</v>
      </c>
      <c r="H835">
        <f t="shared" si="72"/>
        <v>-1.2090506809840805E-2</v>
      </c>
      <c r="I835">
        <f t="shared" si="73"/>
        <v>-4.9870375278532171E-2</v>
      </c>
      <c r="J835">
        <f t="shared" si="74"/>
        <v>-6.9406864454983938E-2</v>
      </c>
      <c r="K835">
        <f t="shared" si="75"/>
        <v>1.3205357444172035E-2</v>
      </c>
      <c r="L835">
        <f t="shared" si="76"/>
        <v>-7.0299059282581738E-3</v>
      </c>
      <c r="M835">
        <f t="shared" si="77"/>
        <v>5.3939511999367994E-4</v>
      </c>
    </row>
    <row r="836" spans="1:13" x14ac:dyDescent="0.2">
      <c r="A836" s="6">
        <v>44725</v>
      </c>
      <c r="B836" s="7">
        <v>16.95</v>
      </c>
      <c r="C836" s="7">
        <v>110.72</v>
      </c>
      <c r="D836" s="7">
        <v>154.9</v>
      </c>
      <c r="E836" s="7">
        <v>109.65</v>
      </c>
      <c r="F836" s="7">
        <v>39.17</v>
      </c>
      <c r="G836" s="7">
        <v>255.36</v>
      </c>
      <c r="H836">
        <f t="shared" ref="H836:H899" si="78">LN(B836/B835)</f>
        <v>8.1715689414919426E-2</v>
      </c>
      <c r="I836">
        <f t="shared" ref="I836:I899" si="79">LN(C836/C835)</f>
        <v>-6.7510045321727066E-3</v>
      </c>
      <c r="J836">
        <f t="shared" ref="J836:J899" si="80">LN(D836/D835)</f>
        <v>-1.8421910244120598E-2</v>
      </c>
      <c r="K836">
        <f t="shared" ref="K836:K899" si="81">LN(E836/E835)</f>
        <v>5.6080697528876448E-2</v>
      </c>
      <c r="L836">
        <f t="shared" ref="L836:L899" si="82">LN(F836/F835)</f>
        <v>-1.318811911723399E-2</v>
      </c>
      <c r="M836">
        <f t="shared" ref="M836:M899" si="83">LN(G836/G835)</f>
        <v>-1.6544709203404496E-2</v>
      </c>
    </row>
    <row r="837" spans="1:13" x14ac:dyDescent="0.2">
      <c r="A837" s="6">
        <v>44722</v>
      </c>
      <c r="B837" s="7">
        <v>18.02</v>
      </c>
      <c r="C837" s="7">
        <v>110.78</v>
      </c>
      <c r="D837" s="7">
        <v>156.09</v>
      </c>
      <c r="E837" s="7">
        <v>116.15</v>
      </c>
      <c r="F837" s="7">
        <v>38.83</v>
      </c>
      <c r="G837" s="7">
        <v>250.96</v>
      </c>
      <c r="H837">
        <f t="shared" si="78"/>
        <v>6.1214418353732654E-2</v>
      </c>
      <c r="I837">
        <f t="shared" si="79"/>
        <v>5.4176073559836235E-4</v>
      </c>
      <c r="J837">
        <f t="shared" si="80"/>
        <v>7.6530165474988201E-3</v>
      </c>
      <c r="K837">
        <f t="shared" si="81"/>
        <v>5.7588984352520974E-2</v>
      </c>
      <c r="L837">
        <f t="shared" si="82"/>
        <v>-8.7180039341640553E-3</v>
      </c>
      <c r="M837">
        <f t="shared" si="83"/>
        <v>-1.7380750379021297E-2</v>
      </c>
    </row>
    <row r="838" spans="1:13" x14ac:dyDescent="0.2">
      <c r="A838" s="6">
        <v>44720</v>
      </c>
      <c r="B838" s="7">
        <v>18.62</v>
      </c>
      <c r="C838" s="7">
        <v>106.41</v>
      </c>
      <c r="D838" s="7">
        <v>162.74</v>
      </c>
      <c r="E838" s="7">
        <v>121.18</v>
      </c>
      <c r="F838" s="7">
        <v>38.94</v>
      </c>
      <c r="G838" s="7">
        <v>250.6</v>
      </c>
      <c r="H838">
        <f t="shared" si="78"/>
        <v>3.275401966872931E-2</v>
      </c>
      <c r="I838">
        <f t="shared" si="79"/>
        <v>-4.0246695151317763E-2</v>
      </c>
      <c r="J838">
        <f t="shared" si="80"/>
        <v>4.1721071298189458E-2</v>
      </c>
      <c r="K838">
        <f t="shared" si="81"/>
        <v>4.2394584300424899E-2</v>
      </c>
      <c r="L838">
        <f t="shared" si="82"/>
        <v>2.828856200477623E-3</v>
      </c>
      <c r="M838">
        <f t="shared" si="83"/>
        <v>-1.4355214204548349E-3</v>
      </c>
    </row>
    <row r="839" spans="1:13" x14ac:dyDescent="0.2">
      <c r="A839" s="6">
        <v>44720</v>
      </c>
      <c r="B839" s="7">
        <v>18.89</v>
      </c>
      <c r="C839" s="7">
        <v>105.31</v>
      </c>
      <c r="D839" s="7">
        <v>159.88</v>
      </c>
      <c r="E839" s="7">
        <v>123</v>
      </c>
      <c r="F839" s="7">
        <v>39.090000000000003</v>
      </c>
      <c r="G839" s="7">
        <v>247.19</v>
      </c>
      <c r="H839">
        <f t="shared" si="78"/>
        <v>1.4396409664497137E-2</v>
      </c>
      <c r="I839">
        <f t="shared" si="79"/>
        <v>-1.0391176061134242E-2</v>
      </c>
      <c r="J839">
        <f t="shared" si="80"/>
        <v>-1.7730301425388548E-2</v>
      </c>
      <c r="K839">
        <f t="shared" si="81"/>
        <v>1.4907311855574437E-2</v>
      </c>
      <c r="L839">
        <f t="shared" si="82"/>
        <v>3.844679860809904E-3</v>
      </c>
      <c r="M839">
        <f t="shared" si="83"/>
        <v>-1.3700770771113547E-2</v>
      </c>
    </row>
    <row r="840" spans="1:13" x14ac:dyDescent="0.2">
      <c r="A840" s="6">
        <v>44718</v>
      </c>
      <c r="B840" s="7">
        <v>18.690000000000001</v>
      </c>
      <c r="C840" s="7">
        <v>105.98</v>
      </c>
      <c r="D840" s="7">
        <v>162.72999999999999</v>
      </c>
      <c r="E840" s="7">
        <v>124.79</v>
      </c>
      <c r="F840" s="7">
        <v>39.520000000000003</v>
      </c>
      <c r="G840" s="7">
        <v>258.95</v>
      </c>
      <c r="H840">
        <f t="shared" si="78"/>
        <v>-1.0644060045946667E-2</v>
      </c>
      <c r="I840">
        <f t="shared" si="79"/>
        <v>6.3420156721102385E-3</v>
      </c>
      <c r="J840">
        <f t="shared" si="80"/>
        <v>1.7668851829400097E-2</v>
      </c>
      <c r="K840">
        <f t="shared" si="81"/>
        <v>1.4447969147345549E-2</v>
      </c>
      <c r="L840">
        <f t="shared" si="82"/>
        <v>1.0940193074803553E-2</v>
      </c>
      <c r="M840">
        <f t="shared" si="83"/>
        <v>4.6477721179046028E-2</v>
      </c>
    </row>
    <row r="841" spans="1:13" x14ac:dyDescent="0.2">
      <c r="A841" s="6">
        <v>44715</v>
      </c>
      <c r="B841" s="7">
        <v>19.559999999999999</v>
      </c>
      <c r="C841" s="7">
        <v>105.66</v>
      </c>
      <c r="D841" s="7">
        <v>163.25</v>
      </c>
      <c r="E841" s="7">
        <v>122.35</v>
      </c>
      <c r="F841" s="7">
        <v>39.49</v>
      </c>
      <c r="G841" s="7">
        <v>252.02</v>
      </c>
      <c r="H841">
        <f t="shared" si="78"/>
        <v>4.5498043139199584E-2</v>
      </c>
      <c r="I841">
        <f t="shared" si="79"/>
        <v>-3.0240053284463402E-3</v>
      </c>
      <c r="J841">
        <f t="shared" si="80"/>
        <v>3.1903824840176461E-3</v>
      </c>
      <c r="K841">
        <f t="shared" si="81"/>
        <v>-1.9746534631082408E-2</v>
      </c>
      <c r="L841">
        <f t="shared" si="82"/>
        <v>-7.5939758110907241E-4</v>
      </c>
      <c r="M841">
        <f t="shared" si="83"/>
        <v>-2.7126543428353293E-2</v>
      </c>
    </row>
    <row r="842" spans="1:13" x14ac:dyDescent="0.2">
      <c r="A842" s="6">
        <v>44714</v>
      </c>
      <c r="B842" s="7">
        <v>18.29</v>
      </c>
      <c r="C842" s="7">
        <v>110.4</v>
      </c>
      <c r="D842" s="7">
        <v>174.49</v>
      </c>
      <c r="E842" s="7">
        <v>125.51</v>
      </c>
      <c r="F842" s="7">
        <v>38.549999999999997</v>
      </c>
      <c r="G842" s="7">
        <v>246.12</v>
      </c>
      <c r="H842">
        <f t="shared" si="78"/>
        <v>-6.7132202203896985E-2</v>
      </c>
      <c r="I842">
        <f t="shared" si="79"/>
        <v>4.3883742106825302E-2</v>
      </c>
      <c r="J842">
        <f t="shared" si="80"/>
        <v>6.6584665253598282E-2</v>
      </c>
      <c r="K842">
        <f t="shared" si="81"/>
        <v>2.5499646783674314E-2</v>
      </c>
      <c r="L842">
        <f t="shared" si="82"/>
        <v>-2.4091375289219702E-2</v>
      </c>
      <c r="M842">
        <f t="shared" si="83"/>
        <v>-2.3689227569257613E-2</v>
      </c>
    </row>
    <row r="843" spans="1:13" x14ac:dyDescent="0.2">
      <c r="A843" s="6">
        <v>44713</v>
      </c>
      <c r="B843" s="7">
        <v>18.64</v>
      </c>
      <c r="C843" s="7">
        <v>114.05</v>
      </c>
      <c r="D843" s="7">
        <v>182.87</v>
      </c>
      <c r="E843" s="7">
        <v>121.68</v>
      </c>
      <c r="F843" s="7">
        <v>39.020000000000003</v>
      </c>
      <c r="G843" s="7">
        <v>246.32</v>
      </c>
      <c r="H843">
        <f t="shared" si="78"/>
        <v>1.8955346854670818E-2</v>
      </c>
      <c r="I843">
        <f t="shared" si="79"/>
        <v>3.2526814887402E-2</v>
      </c>
      <c r="J843">
        <f t="shared" si="80"/>
        <v>4.6908084476403031E-2</v>
      </c>
      <c r="K843">
        <f t="shared" si="81"/>
        <v>-3.0990788721317365E-2</v>
      </c>
      <c r="L843">
        <f t="shared" si="82"/>
        <v>1.2118235185626833E-2</v>
      </c>
      <c r="M843">
        <f t="shared" si="83"/>
        <v>8.1228174395533959E-4</v>
      </c>
    </row>
    <row r="844" spans="1:13" x14ac:dyDescent="0.2">
      <c r="A844" s="6">
        <v>44712</v>
      </c>
      <c r="B844" s="7">
        <v>18.78</v>
      </c>
      <c r="C844" s="7">
        <v>116.39</v>
      </c>
      <c r="D844" s="7">
        <v>195.44</v>
      </c>
      <c r="E844" s="7">
        <v>120.21</v>
      </c>
      <c r="F844" s="7">
        <v>37.78</v>
      </c>
      <c r="G844" s="7">
        <v>247.72</v>
      </c>
      <c r="H844">
        <f t="shared" si="78"/>
        <v>7.4826645226718199E-3</v>
      </c>
      <c r="I844">
        <f t="shared" si="79"/>
        <v>2.0309672223487982E-2</v>
      </c>
      <c r="J844">
        <f t="shared" si="80"/>
        <v>6.6477909062943499E-2</v>
      </c>
      <c r="K844">
        <f t="shared" si="81"/>
        <v>-1.2154434634874683E-2</v>
      </c>
      <c r="L844">
        <f t="shared" si="82"/>
        <v>-3.2294473121601684E-2</v>
      </c>
      <c r="M844">
        <f t="shared" si="83"/>
        <v>5.6675724536151811E-3</v>
      </c>
    </row>
    <row r="845" spans="1:13" x14ac:dyDescent="0.2">
      <c r="A845" s="6">
        <v>44708</v>
      </c>
      <c r="B845" s="7">
        <v>17.82</v>
      </c>
      <c r="C845" s="7">
        <v>116.35</v>
      </c>
      <c r="D845" s="7">
        <v>194.45</v>
      </c>
      <c r="E845" s="7">
        <v>115.15</v>
      </c>
      <c r="F845" s="7">
        <v>38.53</v>
      </c>
      <c r="G845" s="7">
        <v>250.22</v>
      </c>
      <c r="H845">
        <f t="shared" si="78"/>
        <v>-5.2471051737453596E-2</v>
      </c>
      <c r="I845">
        <f t="shared" si="79"/>
        <v>-3.4373120558426972E-4</v>
      </c>
      <c r="J845">
        <f t="shared" si="80"/>
        <v>-5.0783663477287529E-3</v>
      </c>
      <c r="K845">
        <f t="shared" si="81"/>
        <v>-4.30045870494686E-2</v>
      </c>
      <c r="L845">
        <f t="shared" si="82"/>
        <v>1.9657296564702782E-2</v>
      </c>
      <c r="M845">
        <f t="shared" si="83"/>
        <v>1.0041454819393751E-2</v>
      </c>
    </row>
    <row r="846" spans="1:13" x14ac:dyDescent="0.2">
      <c r="A846" s="6">
        <v>44707</v>
      </c>
      <c r="B846" s="7">
        <v>16.95</v>
      </c>
      <c r="C846" s="7">
        <v>116.02</v>
      </c>
      <c r="D846" s="7">
        <v>193.06</v>
      </c>
      <c r="E846" s="7">
        <v>111.08</v>
      </c>
      <c r="F846" s="7">
        <v>38.130000000000003</v>
      </c>
      <c r="G846" s="7">
        <v>255.96</v>
      </c>
      <c r="H846">
        <f t="shared" si="78"/>
        <v>-5.0053588216204044E-2</v>
      </c>
      <c r="I846">
        <f t="shared" si="79"/>
        <v>-2.8402997103824466E-3</v>
      </c>
      <c r="J846">
        <f t="shared" si="80"/>
        <v>-7.174039181287205E-3</v>
      </c>
      <c r="K846">
        <f t="shared" si="81"/>
        <v>-3.5984963828095524E-2</v>
      </c>
      <c r="L846">
        <f t="shared" si="82"/>
        <v>-1.0435784768593796E-2</v>
      </c>
      <c r="M846">
        <f t="shared" si="83"/>
        <v>2.2680651382005645E-2</v>
      </c>
    </row>
    <row r="847" spans="1:13" x14ac:dyDescent="0.2">
      <c r="A847" s="6">
        <v>44706</v>
      </c>
      <c r="B847" s="7">
        <v>16.13</v>
      </c>
      <c r="C847" s="7">
        <v>113.76</v>
      </c>
      <c r="D847" s="7">
        <v>189.61</v>
      </c>
      <c r="E847" s="7">
        <v>106.78</v>
      </c>
      <c r="F847" s="7">
        <v>38.159999999999997</v>
      </c>
      <c r="G847" s="7">
        <v>254.99</v>
      </c>
      <c r="H847">
        <f t="shared" si="78"/>
        <v>-4.9586941689341746E-2</v>
      </c>
      <c r="I847">
        <f t="shared" si="79"/>
        <v>-1.9671623982987489E-2</v>
      </c>
      <c r="J847">
        <f t="shared" si="80"/>
        <v>-1.8031690374356701E-2</v>
      </c>
      <c r="K847">
        <f t="shared" si="81"/>
        <v>-3.9480019366558629E-2</v>
      </c>
      <c r="L847">
        <f t="shared" si="82"/>
        <v>7.8647271061335459E-4</v>
      </c>
      <c r="M847">
        <f t="shared" si="83"/>
        <v>-3.7968535680630447E-3</v>
      </c>
    </row>
    <row r="848" spans="1:13" x14ac:dyDescent="0.2">
      <c r="A848" s="6">
        <v>44705</v>
      </c>
      <c r="B848" s="7">
        <v>16.87</v>
      </c>
      <c r="C848" s="7">
        <v>116.82</v>
      </c>
      <c r="D848" s="7">
        <v>197.64</v>
      </c>
      <c r="E848" s="7">
        <v>104.1</v>
      </c>
      <c r="F848" s="7">
        <v>38.14</v>
      </c>
      <c r="G848" s="7">
        <v>259.10000000000002</v>
      </c>
      <c r="H848">
        <f t="shared" si="78"/>
        <v>4.485600442075964E-2</v>
      </c>
      <c r="I848">
        <f t="shared" si="79"/>
        <v>2.6543322557232494E-2</v>
      </c>
      <c r="J848">
        <f t="shared" si="80"/>
        <v>4.1477862931436717E-2</v>
      </c>
      <c r="K848">
        <f t="shared" si="81"/>
        <v>-2.5418667451116997E-2</v>
      </c>
      <c r="L848">
        <f t="shared" si="82"/>
        <v>-5.242464078126398E-4</v>
      </c>
      <c r="M848">
        <f t="shared" si="83"/>
        <v>1.5989758864867851E-2</v>
      </c>
    </row>
    <row r="849" spans="1:13" x14ac:dyDescent="0.2">
      <c r="A849" s="6">
        <v>44704</v>
      </c>
      <c r="B849" s="7">
        <v>16.66</v>
      </c>
      <c r="C849" s="7">
        <v>113.11</v>
      </c>
      <c r="D849" s="7">
        <v>187.48</v>
      </c>
      <c r="E849" s="7">
        <v>107.56</v>
      </c>
      <c r="F849" s="7">
        <v>38.869999999999997</v>
      </c>
      <c r="G849" s="7">
        <v>264.66000000000003</v>
      </c>
      <c r="H849">
        <f t="shared" si="78"/>
        <v>-1.2526259819180369E-2</v>
      </c>
      <c r="I849">
        <f t="shared" si="79"/>
        <v>-3.2273492068873581E-2</v>
      </c>
      <c r="J849">
        <f t="shared" si="80"/>
        <v>-5.2775020923043869E-2</v>
      </c>
      <c r="K849">
        <f t="shared" si="81"/>
        <v>3.2696855779740783E-2</v>
      </c>
      <c r="L849">
        <f t="shared" si="82"/>
        <v>1.8959144691858693E-2</v>
      </c>
      <c r="M849">
        <f t="shared" si="83"/>
        <v>2.1231895776839007E-2</v>
      </c>
    </row>
    <row r="850" spans="1:13" x14ac:dyDescent="0.2">
      <c r="A850" s="6">
        <v>44701</v>
      </c>
      <c r="B850" s="7">
        <v>17.09</v>
      </c>
      <c r="C850" s="7">
        <v>112.98</v>
      </c>
      <c r="D850" s="7">
        <v>192.45</v>
      </c>
      <c r="E850" s="7">
        <v>107.59</v>
      </c>
      <c r="F850" s="7">
        <v>38.659999999999997</v>
      </c>
      <c r="G850" s="7">
        <v>274.38</v>
      </c>
      <c r="H850">
        <f t="shared" si="78"/>
        <v>2.5482860388802923E-2</v>
      </c>
      <c r="I850">
        <f t="shared" si="79"/>
        <v>-1.1499846461735896E-3</v>
      </c>
      <c r="J850">
        <f t="shared" si="80"/>
        <v>2.6164206675249706E-2</v>
      </c>
      <c r="K850">
        <f t="shared" si="81"/>
        <v>2.7887520515398672E-4</v>
      </c>
      <c r="L850">
        <f t="shared" si="82"/>
        <v>-5.4172710839469349E-3</v>
      </c>
      <c r="M850">
        <f t="shared" si="83"/>
        <v>3.606802355311535E-2</v>
      </c>
    </row>
    <row r="851" spans="1:13" x14ac:dyDescent="0.2">
      <c r="A851" s="6">
        <v>44700</v>
      </c>
      <c r="B851" s="7">
        <v>16.91</v>
      </c>
      <c r="C851" s="7">
        <v>111.55</v>
      </c>
      <c r="D851" s="7">
        <v>193.93</v>
      </c>
      <c r="E851" s="7">
        <v>107.32</v>
      </c>
      <c r="F851" s="7">
        <v>39.06</v>
      </c>
      <c r="G851" s="7">
        <v>272.25</v>
      </c>
      <c r="H851">
        <f t="shared" si="78"/>
        <v>-1.0588334217010546E-2</v>
      </c>
      <c r="I851">
        <f t="shared" si="79"/>
        <v>-1.2737891018574627E-2</v>
      </c>
      <c r="J851">
        <f t="shared" si="80"/>
        <v>7.6608894783944679E-3</v>
      </c>
      <c r="K851">
        <f t="shared" si="81"/>
        <v>-2.5126810483944604E-3</v>
      </c>
      <c r="L851">
        <f t="shared" si="82"/>
        <v>1.0293451668348098E-2</v>
      </c>
      <c r="M851">
        <f t="shared" si="83"/>
        <v>-7.7932450849489696E-3</v>
      </c>
    </row>
    <row r="852" spans="1:13" x14ac:dyDescent="0.2">
      <c r="A852" s="6">
        <v>44699</v>
      </c>
      <c r="B852" s="7">
        <v>18.14</v>
      </c>
      <c r="C852" s="7">
        <v>107.05</v>
      </c>
      <c r="D852" s="7">
        <v>190.46</v>
      </c>
      <c r="E852" s="7">
        <v>107.11</v>
      </c>
      <c r="F852" s="7">
        <v>39.409999999999997</v>
      </c>
      <c r="G852" s="7">
        <v>276.13</v>
      </c>
      <c r="H852">
        <f t="shared" si="78"/>
        <v>7.021428177650163E-2</v>
      </c>
      <c r="I852">
        <f t="shared" si="79"/>
        <v>-4.117690584284972E-2</v>
      </c>
      <c r="J852">
        <f t="shared" si="80"/>
        <v>-1.8055070442249462E-2</v>
      </c>
      <c r="K852">
        <f t="shared" si="81"/>
        <v>-1.9586817808850674E-3</v>
      </c>
      <c r="L852">
        <f t="shared" si="82"/>
        <v>8.9206657583793623E-3</v>
      </c>
      <c r="M852">
        <f t="shared" si="83"/>
        <v>1.4151007504327443E-2</v>
      </c>
    </row>
    <row r="853" spans="1:13" x14ac:dyDescent="0.2">
      <c r="A853" s="6">
        <v>44698</v>
      </c>
      <c r="B853" s="7">
        <v>17.23</v>
      </c>
      <c r="C853" s="7">
        <v>105.08</v>
      </c>
      <c r="D853" s="7">
        <v>182.7</v>
      </c>
      <c r="E853" s="7">
        <v>115.37</v>
      </c>
      <c r="F853" s="7">
        <v>39.89</v>
      </c>
      <c r="G853" s="7">
        <v>278.07</v>
      </c>
      <c r="H853">
        <f t="shared" si="78"/>
        <v>-5.1467394147152283E-2</v>
      </c>
      <c r="I853">
        <f t="shared" si="79"/>
        <v>-1.8574050218352713E-2</v>
      </c>
      <c r="J853">
        <f t="shared" si="80"/>
        <v>-4.1596735381939011E-2</v>
      </c>
      <c r="K853">
        <f t="shared" si="81"/>
        <v>7.4288011162660067E-2</v>
      </c>
      <c r="L853">
        <f t="shared" si="82"/>
        <v>1.2106074710402948E-2</v>
      </c>
      <c r="M853">
        <f t="shared" si="83"/>
        <v>7.0011112384536396E-3</v>
      </c>
    </row>
    <row r="854" spans="1:13" x14ac:dyDescent="0.2">
      <c r="A854" s="6">
        <v>44697</v>
      </c>
      <c r="B854" s="7">
        <v>17.670000000000002</v>
      </c>
      <c r="C854" s="7">
        <v>105.24</v>
      </c>
      <c r="D854" s="7">
        <v>180.17</v>
      </c>
      <c r="E854" s="7">
        <v>110.81</v>
      </c>
      <c r="F854" s="7">
        <v>40.03</v>
      </c>
      <c r="G854" s="7">
        <v>279.16000000000003</v>
      </c>
      <c r="H854">
        <f t="shared" si="78"/>
        <v>2.5216235791766916E-2</v>
      </c>
      <c r="I854">
        <f t="shared" si="79"/>
        <v>1.5214913547528879E-3</v>
      </c>
      <c r="J854">
        <f t="shared" si="80"/>
        <v>-1.3944613756352276E-2</v>
      </c>
      <c r="K854">
        <f t="shared" si="81"/>
        <v>-4.0327331990964256E-2</v>
      </c>
      <c r="L854">
        <f t="shared" si="82"/>
        <v>3.5035070871670846E-3</v>
      </c>
      <c r="M854">
        <f t="shared" si="83"/>
        <v>3.9122135931000182E-3</v>
      </c>
    </row>
    <row r="855" spans="1:13" x14ac:dyDescent="0.2">
      <c r="A855" s="6">
        <v>44694</v>
      </c>
      <c r="B855" s="7">
        <v>16.149999999999999</v>
      </c>
      <c r="C855" s="7">
        <v>110.72</v>
      </c>
      <c r="D855" s="7">
        <v>195.03</v>
      </c>
      <c r="E855" s="7">
        <v>113.06</v>
      </c>
      <c r="F855" s="7">
        <v>40.729999999999997</v>
      </c>
      <c r="G855" s="7">
        <v>279.88</v>
      </c>
      <c r="H855">
        <f t="shared" si="78"/>
        <v>-8.9948236662939648E-2</v>
      </c>
      <c r="I855">
        <f t="shared" si="79"/>
        <v>5.07610356972674E-2</v>
      </c>
      <c r="J855">
        <f t="shared" si="80"/>
        <v>7.9252543256878402E-2</v>
      </c>
      <c r="K855">
        <f t="shared" si="81"/>
        <v>2.0101628298910702E-2</v>
      </c>
      <c r="L855">
        <f t="shared" si="82"/>
        <v>1.7335748655838753E-2</v>
      </c>
      <c r="M855">
        <f t="shared" si="83"/>
        <v>2.5758457287450957E-3</v>
      </c>
    </row>
    <row r="856" spans="1:13" x14ac:dyDescent="0.2">
      <c r="A856" s="6">
        <v>44692</v>
      </c>
      <c r="B856" s="7">
        <v>17.559999999999999</v>
      </c>
      <c r="C856" s="7">
        <v>109.63</v>
      </c>
      <c r="D856" s="7">
        <v>190.12</v>
      </c>
      <c r="E856" s="7">
        <v>105.37</v>
      </c>
      <c r="F856" s="7">
        <v>41.09</v>
      </c>
      <c r="G856" s="7">
        <v>271.94</v>
      </c>
      <c r="H856">
        <f t="shared" si="78"/>
        <v>8.3703538538305117E-2</v>
      </c>
      <c r="I856">
        <f t="shared" si="79"/>
        <v>-9.8934321829108416E-3</v>
      </c>
      <c r="J856">
        <f t="shared" si="80"/>
        <v>-2.5497941138678374E-2</v>
      </c>
      <c r="K856">
        <f t="shared" si="81"/>
        <v>-7.0440685635708475E-2</v>
      </c>
      <c r="L856">
        <f t="shared" si="82"/>
        <v>8.7998612349974234E-3</v>
      </c>
      <c r="M856">
        <f t="shared" si="83"/>
        <v>-2.8779486150156054E-2</v>
      </c>
    </row>
    <row r="857" spans="1:13" x14ac:dyDescent="0.2">
      <c r="A857" s="6">
        <v>44691</v>
      </c>
      <c r="B857" s="7">
        <v>16.920000000000002</v>
      </c>
      <c r="C857" s="7">
        <v>111.13</v>
      </c>
      <c r="D857" s="7">
        <v>191.06</v>
      </c>
      <c r="E857" s="7">
        <v>108.86</v>
      </c>
      <c r="F857" s="7">
        <v>41.04</v>
      </c>
      <c r="G857" s="7">
        <v>275.27999999999997</v>
      </c>
      <c r="H857">
        <f t="shared" si="78"/>
        <v>-3.712723402889323E-2</v>
      </c>
      <c r="I857">
        <f t="shared" si="79"/>
        <v>1.3589627511106532E-2</v>
      </c>
      <c r="J857">
        <f t="shared" si="80"/>
        <v>4.9320630960537045E-3</v>
      </c>
      <c r="K857">
        <f t="shared" si="81"/>
        <v>3.2584687394617763E-2</v>
      </c>
      <c r="L857">
        <f t="shared" si="82"/>
        <v>-1.2175820328043873E-3</v>
      </c>
      <c r="M857">
        <f t="shared" si="83"/>
        <v>1.2207307761684928E-2</v>
      </c>
    </row>
    <row r="858" spans="1:13" x14ac:dyDescent="0.2">
      <c r="A858" s="6">
        <v>44690</v>
      </c>
      <c r="B858" s="7">
        <v>18.64</v>
      </c>
      <c r="C858" s="7">
        <v>115.68</v>
      </c>
      <c r="D858" s="7">
        <v>201.38</v>
      </c>
      <c r="E858" s="7">
        <v>108.79</v>
      </c>
      <c r="F858" s="7">
        <v>40.25</v>
      </c>
      <c r="G858" s="7">
        <v>280.48</v>
      </c>
      <c r="H858">
        <f t="shared" si="78"/>
        <v>9.6813455079367741E-2</v>
      </c>
      <c r="I858">
        <f t="shared" si="79"/>
        <v>4.0127071212899545E-2</v>
      </c>
      <c r="J858">
        <f t="shared" si="80"/>
        <v>5.2606155645606424E-2</v>
      </c>
      <c r="K858">
        <f t="shared" si="81"/>
        <v>-6.4323457306259913E-4</v>
      </c>
      <c r="L858">
        <f t="shared" si="82"/>
        <v>-1.9437196997941709E-2</v>
      </c>
      <c r="M858">
        <f t="shared" si="83"/>
        <v>1.8713659683699504E-2</v>
      </c>
    </row>
    <row r="859" spans="1:13" x14ac:dyDescent="0.2">
      <c r="A859" s="6">
        <v>44687</v>
      </c>
      <c r="B859" s="7">
        <v>18.809999999999999</v>
      </c>
      <c r="C859" s="7">
        <v>113.66</v>
      </c>
      <c r="D859" s="7">
        <v>198.81</v>
      </c>
      <c r="E859" s="7">
        <v>114.77</v>
      </c>
      <c r="F859" s="7">
        <v>39.409999999999997</v>
      </c>
      <c r="G859" s="7">
        <v>275.33999999999997</v>
      </c>
      <c r="H859">
        <f t="shared" si="78"/>
        <v>9.0788340554937737E-3</v>
      </c>
      <c r="I859">
        <f t="shared" si="79"/>
        <v>-1.7616222541479175E-2</v>
      </c>
      <c r="J859">
        <f t="shared" si="80"/>
        <v>-1.284407571922363E-2</v>
      </c>
      <c r="K859">
        <f t="shared" si="81"/>
        <v>5.3510707259585656E-2</v>
      </c>
      <c r="L859">
        <f t="shared" si="82"/>
        <v>-2.1090412657660117E-2</v>
      </c>
      <c r="M859">
        <f t="shared" si="83"/>
        <v>-1.8495723538127406E-2</v>
      </c>
    </row>
    <row r="860" spans="1:13" x14ac:dyDescent="0.2">
      <c r="A860" s="6">
        <v>44686</v>
      </c>
      <c r="B860" s="7">
        <v>20.3</v>
      </c>
      <c r="C860" s="7">
        <v>115.26</v>
      </c>
      <c r="D860" s="7">
        <v>197.4</v>
      </c>
      <c r="E860" s="7">
        <v>116.41</v>
      </c>
      <c r="F860" s="7">
        <v>39.65</v>
      </c>
      <c r="G860" s="7">
        <v>266.94</v>
      </c>
      <c r="H860">
        <f t="shared" si="78"/>
        <v>7.6232242734802655E-2</v>
      </c>
      <c r="I860">
        <f t="shared" si="79"/>
        <v>1.3978910139544816E-2</v>
      </c>
      <c r="J860">
        <f t="shared" si="80"/>
        <v>-7.1174677688639896E-3</v>
      </c>
      <c r="K860">
        <f t="shared" si="81"/>
        <v>1.4188316567572591E-2</v>
      </c>
      <c r="L860">
        <f t="shared" si="82"/>
        <v>6.071356873944677E-3</v>
      </c>
      <c r="M860">
        <f t="shared" si="83"/>
        <v>-3.0982783588791647E-2</v>
      </c>
    </row>
    <row r="861" spans="1:13" x14ac:dyDescent="0.2">
      <c r="A861" s="6">
        <v>44685</v>
      </c>
      <c r="B861" s="7">
        <v>19.57</v>
      </c>
      <c r="C861" s="7">
        <v>112.07</v>
      </c>
      <c r="D861" s="7">
        <v>190.07</v>
      </c>
      <c r="E861" s="7">
        <v>125.93</v>
      </c>
      <c r="F861" s="7">
        <v>39.159999999999997</v>
      </c>
      <c r="G861" s="7">
        <v>261.8</v>
      </c>
      <c r="H861">
        <f t="shared" si="78"/>
        <v>-3.6623104639756841E-2</v>
      </c>
      <c r="I861">
        <f t="shared" si="79"/>
        <v>-2.8066769944583809E-2</v>
      </c>
      <c r="J861">
        <f t="shared" si="80"/>
        <v>-3.7839701636635109E-2</v>
      </c>
      <c r="K861">
        <f t="shared" si="81"/>
        <v>7.8607754757605591E-2</v>
      </c>
      <c r="L861">
        <f t="shared" si="82"/>
        <v>-1.2435130418547418E-2</v>
      </c>
      <c r="M861">
        <f t="shared" si="83"/>
        <v>-1.9443060570205804E-2</v>
      </c>
    </row>
    <row r="862" spans="1:13" x14ac:dyDescent="0.2">
      <c r="A862" s="6">
        <v>44684</v>
      </c>
      <c r="B862" s="7">
        <v>19.5</v>
      </c>
      <c r="C862" s="7">
        <v>112.82</v>
      </c>
      <c r="D862" s="7">
        <v>187.58</v>
      </c>
      <c r="E862" s="7">
        <v>124.25</v>
      </c>
      <c r="F862" s="7">
        <v>38.07</v>
      </c>
      <c r="G862" s="7">
        <v>260.08</v>
      </c>
      <c r="H862">
        <f t="shared" si="78"/>
        <v>-3.5833158382837958E-3</v>
      </c>
      <c r="I862">
        <f t="shared" si="79"/>
        <v>6.669952247893525E-3</v>
      </c>
      <c r="J862">
        <f t="shared" si="80"/>
        <v>-1.3187004281953688E-2</v>
      </c>
      <c r="K862">
        <f t="shared" si="81"/>
        <v>-1.3430532041016997E-2</v>
      </c>
      <c r="L862">
        <f t="shared" si="82"/>
        <v>-2.822924726790357E-2</v>
      </c>
      <c r="M862">
        <f t="shared" si="83"/>
        <v>-6.5915774801497216E-3</v>
      </c>
    </row>
    <row r="863" spans="1:13" x14ac:dyDescent="0.2">
      <c r="A863" s="6">
        <v>44683</v>
      </c>
      <c r="B863" s="7">
        <v>18.510000000000002</v>
      </c>
      <c r="C863" s="7">
        <v>113.61</v>
      </c>
      <c r="D863" s="7">
        <v>196.44</v>
      </c>
      <c r="E863" s="7">
        <v>124.5</v>
      </c>
      <c r="F863" s="7">
        <v>38.03</v>
      </c>
      <c r="G863" s="7">
        <v>261.14</v>
      </c>
      <c r="H863">
        <f t="shared" si="78"/>
        <v>-5.2103338984294888E-2</v>
      </c>
      <c r="I863">
        <f t="shared" si="79"/>
        <v>6.9779022699830726E-3</v>
      </c>
      <c r="J863">
        <f t="shared" si="80"/>
        <v>4.615162009025129E-2</v>
      </c>
      <c r="K863">
        <f t="shared" si="81"/>
        <v>2.0100509280241E-3</v>
      </c>
      <c r="L863">
        <f t="shared" si="82"/>
        <v>-1.0512484542376597E-3</v>
      </c>
      <c r="M863">
        <f t="shared" si="83"/>
        <v>4.0673859842427279E-3</v>
      </c>
    </row>
    <row r="864" spans="1:13" x14ac:dyDescent="0.2">
      <c r="A864" s="6">
        <v>44680</v>
      </c>
      <c r="B864" s="7">
        <v>19.75</v>
      </c>
      <c r="C864" s="7">
        <v>111.74</v>
      </c>
      <c r="D864" s="7">
        <v>195.01</v>
      </c>
      <c r="E864" s="7">
        <v>124.28</v>
      </c>
      <c r="F864" s="7">
        <v>39.11</v>
      </c>
      <c r="G864" s="7">
        <v>261.64999999999998</v>
      </c>
      <c r="H864">
        <f t="shared" si="78"/>
        <v>6.4842364761724683E-2</v>
      </c>
      <c r="I864">
        <f t="shared" si="79"/>
        <v>-1.659678655081049E-2</v>
      </c>
      <c r="J864">
        <f t="shared" si="80"/>
        <v>-7.306201870894492E-3</v>
      </c>
      <c r="K864">
        <f t="shared" si="81"/>
        <v>-1.768631379915647E-3</v>
      </c>
      <c r="L864">
        <f t="shared" si="82"/>
        <v>2.8002866827254475E-2</v>
      </c>
      <c r="M864">
        <f t="shared" si="83"/>
        <v>1.9510708383242434E-3</v>
      </c>
    </row>
    <row r="865" spans="1:13" x14ac:dyDescent="0.2">
      <c r="A865" s="6">
        <v>44679</v>
      </c>
      <c r="B865" s="7">
        <v>18.38</v>
      </c>
      <c r="C865" s="7">
        <v>114.95</v>
      </c>
      <c r="D865" s="7">
        <v>202.52</v>
      </c>
      <c r="E865" s="7">
        <v>144.6</v>
      </c>
      <c r="F865" s="7">
        <v>41.96</v>
      </c>
      <c r="G865" s="7">
        <v>259.31</v>
      </c>
      <c r="H865">
        <f t="shared" si="78"/>
        <v>-7.1890374419589953E-2</v>
      </c>
      <c r="I865">
        <f t="shared" si="79"/>
        <v>2.8322507178187815E-2</v>
      </c>
      <c r="J865">
        <f t="shared" si="80"/>
        <v>3.7787807801559062E-2</v>
      </c>
      <c r="K865">
        <f t="shared" si="81"/>
        <v>0.15143422519981764</v>
      </c>
      <c r="L865">
        <f t="shared" si="82"/>
        <v>7.0338594760673806E-2</v>
      </c>
      <c r="M865">
        <f t="shared" si="83"/>
        <v>-8.983475648923437E-3</v>
      </c>
    </row>
    <row r="866" spans="1:13" x14ac:dyDescent="0.2">
      <c r="A866" s="6">
        <v>44678</v>
      </c>
      <c r="B866" s="7">
        <v>18.75</v>
      </c>
      <c r="C866" s="7">
        <v>115.71</v>
      </c>
      <c r="D866" s="7">
        <v>207</v>
      </c>
      <c r="E866" s="7">
        <v>138.16999999999999</v>
      </c>
      <c r="F866" s="7">
        <v>47.34</v>
      </c>
      <c r="G866" s="7">
        <v>273.64999999999998</v>
      </c>
      <c r="H866">
        <f t="shared" si="78"/>
        <v>1.9930635488878811E-2</v>
      </c>
      <c r="I866">
        <f t="shared" si="79"/>
        <v>6.5898096790555829E-3</v>
      </c>
      <c r="J866">
        <f t="shared" si="80"/>
        <v>2.1880146163660706E-2</v>
      </c>
      <c r="K866">
        <f t="shared" si="81"/>
        <v>-4.548649865608622E-2</v>
      </c>
      <c r="L866">
        <f t="shared" si="82"/>
        <v>0.1206388205577415</v>
      </c>
      <c r="M866">
        <f t="shared" si="83"/>
        <v>5.3825660420633699E-2</v>
      </c>
    </row>
    <row r="867" spans="1:13" x14ac:dyDescent="0.2">
      <c r="A867" s="6">
        <v>44677</v>
      </c>
      <c r="B867" s="7">
        <v>19.87</v>
      </c>
      <c r="C867" s="7">
        <v>121.42</v>
      </c>
      <c r="D867" s="7">
        <v>222.04</v>
      </c>
      <c r="E867" s="7">
        <v>139.38999999999999</v>
      </c>
      <c r="F867" s="7">
        <v>47.29</v>
      </c>
      <c r="G867" s="7">
        <v>269.14</v>
      </c>
      <c r="H867">
        <f t="shared" si="78"/>
        <v>5.8017304147305736E-2</v>
      </c>
      <c r="I867">
        <f t="shared" si="79"/>
        <v>4.8168548814042034E-2</v>
      </c>
      <c r="J867">
        <f t="shared" si="80"/>
        <v>7.0138752556591452E-2</v>
      </c>
      <c r="K867">
        <f t="shared" si="81"/>
        <v>8.7909486732167721E-3</v>
      </c>
      <c r="L867">
        <f t="shared" si="82"/>
        <v>-1.0567474300535405E-3</v>
      </c>
      <c r="M867">
        <f t="shared" si="83"/>
        <v>-1.6618227276531769E-2</v>
      </c>
    </row>
    <row r="868" spans="1:13" x14ac:dyDescent="0.2">
      <c r="A868" s="6">
        <v>44676</v>
      </c>
      <c r="B868" s="7">
        <v>19.48</v>
      </c>
      <c r="C868" s="7">
        <v>116.53</v>
      </c>
      <c r="D868" s="7">
        <v>210.73</v>
      </c>
      <c r="E868" s="7">
        <v>146.07</v>
      </c>
      <c r="F868" s="7">
        <v>47.11</v>
      </c>
      <c r="G868" s="7">
        <v>269.17</v>
      </c>
      <c r="H868">
        <f t="shared" si="78"/>
        <v>-1.9822758349336445E-2</v>
      </c>
      <c r="I868">
        <f t="shared" si="79"/>
        <v>-4.110685911711609E-2</v>
      </c>
      <c r="J868">
        <f t="shared" si="80"/>
        <v>-5.2279852612839073E-2</v>
      </c>
      <c r="K868">
        <f t="shared" si="81"/>
        <v>4.6810199120924163E-2</v>
      </c>
      <c r="L868">
        <f t="shared" si="82"/>
        <v>-3.8135639438346119E-3</v>
      </c>
      <c r="M868">
        <f t="shared" si="83"/>
        <v>1.1145993955556327E-4</v>
      </c>
    </row>
    <row r="869" spans="1:13" x14ac:dyDescent="0.2">
      <c r="A869" s="6">
        <v>44673</v>
      </c>
      <c r="B869" s="7">
        <v>20.149999999999999</v>
      </c>
      <c r="C869" s="7">
        <v>115.78</v>
      </c>
      <c r="D869" s="7">
        <v>209.84</v>
      </c>
      <c r="E869" s="7">
        <v>144.35</v>
      </c>
      <c r="F869" s="7">
        <v>47.15</v>
      </c>
      <c r="G869" s="7">
        <v>263.41000000000003</v>
      </c>
      <c r="H869">
        <f t="shared" si="78"/>
        <v>3.3815990178302918E-2</v>
      </c>
      <c r="I869">
        <f t="shared" si="79"/>
        <v>-6.4569119343134158E-3</v>
      </c>
      <c r="J869">
        <f t="shared" si="80"/>
        <v>-4.2323576505032068E-3</v>
      </c>
      <c r="K869">
        <f t="shared" si="81"/>
        <v>-1.184505275377512E-2</v>
      </c>
      <c r="L869">
        <f t="shared" si="82"/>
        <v>8.4871636751675662E-4</v>
      </c>
      <c r="M869">
        <f t="shared" si="83"/>
        <v>-2.163139659229165E-2</v>
      </c>
    </row>
    <row r="870" spans="1:13" x14ac:dyDescent="0.2">
      <c r="A870" s="6">
        <v>44672</v>
      </c>
      <c r="B870" s="7">
        <v>21.44</v>
      </c>
      <c r="C870" s="7">
        <v>113.33</v>
      </c>
      <c r="D870" s="7">
        <v>199.24</v>
      </c>
      <c r="E870" s="7">
        <v>148.30000000000001</v>
      </c>
      <c r="F870" s="7">
        <v>47.65</v>
      </c>
      <c r="G870" s="7">
        <v>257.29000000000002</v>
      </c>
      <c r="H870">
        <f t="shared" si="78"/>
        <v>6.2054047809909377E-2</v>
      </c>
      <c r="I870">
        <f t="shared" si="79"/>
        <v>-2.138792190600149E-2</v>
      </c>
      <c r="J870">
        <f t="shared" si="80"/>
        <v>-5.1835207353535522E-2</v>
      </c>
      <c r="K870">
        <f t="shared" si="81"/>
        <v>2.6996343034942409E-2</v>
      </c>
      <c r="L870">
        <f t="shared" si="82"/>
        <v>1.0548621020744541E-2</v>
      </c>
      <c r="M870">
        <f t="shared" si="83"/>
        <v>-2.3507900266201032E-2</v>
      </c>
    </row>
    <row r="871" spans="1:13" x14ac:dyDescent="0.2">
      <c r="A871" s="6">
        <v>44671</v>
      </c>
      <c r="B871" s="7">
        <v>22.16</v>
      </c>
      <c r="C871" s="7">
        <v>117.71</v>
      </c>
      <c r="D871" s="7">
        <v>204.47</v>
      </c>
      <c r="E871" s="7">
        <v>154</v>
      </c>
      <c r="F871" s="7">
        <v>48.33</v>
      </c>
      <c r="G871" s="7">
        <v>264.75</v>
      </c>
      <c r="H871">
        <f t="shared" si="78"/>
        <v>3.3030525676481751E-2</v>
      </c>
      <c r="I871">
        <f t="shared" si="79"/>
        <v>3.7920055679532147E-2</v>
      </c>
      <c r="J871">
        <f t="shared" si="80"/>
        <v>2.591113724988026E-2</v>
      </c>
      <c r="K871">
        <f t="shared" si="81"/>
        <v>3.771535326974277E-2</v>
      </c>
      <c r="L871">
        <f t="shared" si="82"/>
        <v>1.416985575678158E-2</v>
      </c>
      <c r="M871">
        <f t="shared" si="83"/>
        <v>2.8582131087057618E-2</v>
      </c>
    </row>
    <row r="872" spans="1:13" x14ac:dyDescent="0.2">
      <c r="A872" s="6">
        <v>44670</v>
      </c>
      <c r="B872" s="7">
        <v>21.74</v>
      </c>
      <c r="C872" s="7">
        <v>113.51</v>
      </c>
      <c r="D872" s="7">
        <v>173.88</v>
      </c>
      <c r="E872" s="7">
        <v>158.12</v>
      </c>
      <c r="F872" s="7">
        <v>47.77</v>
      </c>
      <c r="G872" s="7">
        <v>270.08</v>
      </c>
      <c r="H872">
        <f t="shared" si="78"/>
        <v>-1.9134980186019723E-2</v>
      </c>
      <c r="I872">
        <f t="shared" si="79"/>
        <v>-3.6333033657141148E-2</v>
      </c>
      <c r="J872">
        <f t="shared" si="80"/>
        <v>-0.16205585933437167</v>
      </c>
      <c r="K872">
        <f t="shared" si="81"/>
        <v>2.6401636014855602E-2</v>
      </c>
      <c r="L872">
        <f t="shared" si="82"/>
        <v>-1.1654658455122138E-2</v>
      </c>
      <c r="M872">
        <f t="shared" si="83"/>
        <v>1.9932226926076352E-2</v>
      </c>
    </row>
    <row r="873" spans="1:13" x14ac:dyDescent="0.2">
      <c r="A873" s="6">
        <v>44665</v>
      </c>
      <c r="B873" s="7">
        <v>22.16</v>
      </c>
      <c r="C873" s="7">
        <v>122.23</v>
      </c>
      <c r="D873" s="7">
        <v>185.84</v>
      </c>
      <c r="E873" s="7">
        <v>151.71</v>
      </c>
      <c r="F873" s="7">
        <v>48.79</v>
      </c>
      <c r="G873" s="7">
        <v>271.97000000000003</v>
      </c>
      <c r="H873">
        <f t="shared" si="78"/>
        <v>1.9134980186019751E-2</v>
      </c>
      <c r="I873">
        <f t="shared" si="79"/>
        <v>7.4013577021923446E-2</v>
      </c>
      <c r="J873">
        <f t="shared" si="80"/>
        <v>6.6520682341562429E-2</v>
      </c>
      <c r="K873">
        <f t="shared" si="81"/>
        <v>-4.1383434668483439E-2</v>
      </c>
      <c r="L873">
        <f t="shared" si="82"/>
        <v>2.1127546425875277E-2</v>
      </c>
      <c r="M873">
        <f t="shared" si="83"/>
        <v>6.973554687914555E-3</v>
      </c>
    </row>
    <row r="874" spans="1:13" x14ac:dyDescent="0.2">
      <c r="A874" s="6">
        <v>44664</v>
      </c>
      <c r="B874" s="7">
        <v>21.47</v>
      </c>
      <c r="C874" s="7">
        <v>118.82</v>
      </c>
      <c r="D874" s="7">
        <v>182.98</v>
      </c>
      <c r="E874" s="7">
        <v>155.54</v>
      </c>
      <c r="F874" s="7">
        <v>49.21</v>
      </c>
      <c r="G874" s="7">
        <v>286.70999999999998</v>
      </c>
      <c r="H874">
        <f t="shared" si="78"/>
        <v>-3.1632249988393514E-2</v>
      </c>
      <c r="I874">
        <f t="shared" si="79"/>
        <v>-2.829477286157615E-2</v>
      </c>
      <c r="J874">
        <f t="shared" si="80"/>
        <v>-1.5509231210764555E-2</v>
      </c>
      <c r="K874">
        <f t="shared" si="81"/>
        <v>2.4932129506795731E-2</v>
      </c>
      <c r="L874">
        <f t="shared" si="82"/>
        <v>8.5714810501409631E-3</v>
      </c>
      <c r="M874">
        <f t="shared" si="83"/>
        <v>5.2779485850691046E-2</v>
      </c>
    </row>
    <row r="875" spans="1:13" x14ac:dyDescent="0.2">
      <c r="A875" s="6">
        <v>44663</v>
      </c>
      <c r="B875" s="7">
        <v>21.88</v>
      </c>
      <c r="C875" s="7">
        <v>123.96</v>
      </c>
      <c r="D875" s="7">
        <v>186.92</v>
      </c>
      <c r="E875" s="7">
        <v>150.79</v>
      </c>
      <c r="F875" s="7">
        <v>48.54</v>
      </c>
      <c r="G875" s="7">
        <v>277.29000000000002</v>
      </c>
      <c r="H875">
        <f t="shared" si="78"/>
        <v>1.8916365663090802E-2</v>
      </c>
      <c r="I875">
        <f t="shared" si="79"/>
        <v>4.2349189991952127E-2</v>
      </c>
      <c r="J875">
        <f t="shared" si="80"/>
        <v>2.1303860580836203E-2</v>
      </c>
      <c r="K875">
        <f t="shared" si="81"/>
        <v>-3.1014792889093038E-2</v>
      </c>
      <c r="L875">
        <f t="shared" si="82"/>
        <v>-1.3708654579431569E-2</v>
      </c>
      <c r="M875">
        <f t="shared" si="83"/>
        <v>-3.3407362001401868E-2</v>
      </c>
    </row>
    <row r="876" spans="1:13" x14ac:dyDescent="0.2">
      <c r="A876" s="6">
        <v>44662</v>
      </c>
      <c r="B876" s="7">
        <v>23.08</v>
      </c>
      <c r="C876" s="7">
        <v>127.16</v>
      </c>
      <c r="D876" s="7">
        <v>199.19</v>
      </c>
      <c r="E876" s="7">
        <v>151.12</v>
      </c>
      <c r="F876" s="7">
        <v>48.37</v>
      </c>
      <c r="G876" s="7">
        <v>279.12</v>
      </c>
      <c r="H876">
        <f t="shared" si="78"/>
        <v>5.3393464086118267E-2</v>
      </c>
      <c r="I876">
        <f t="shared" si="79"/>
        <v>2.5487203123054396E-2</v>
      </c>
      <c r="J876">
        <f t="shared" si="80"/>
        <v>6.3578425254957049E-2</v>
      </c>
      <c r="K876">
        <f t="shared" si="81"/>
        <v>2.1860828155500132E-3</v>
      </c>
      <c r="L876">
        <f t="shared" si="82"/>
        <v>-3.508413463563551E-3</v>
      </c>
      <c r="M876">
        <f t="shared" si="83"/>
        <v>6.5779069337227334E-3</v>
      </c>
    </row>
    <row r="877" spans="1:13" x14ac:dyDescent="0.2">
      <c r="A877" s="6">
        <v>44659</v>
      </c>
      <c r="B877" s="7">
        <v>24.17</v>
      </c>
      <c r="C877" s="7">
        <v>129.12</v>
      </c>
      <c r="D877" s="7">
        <v>215.98</v>
      </c>
      <c r="E877" s="7">
        <v>154.46</v>
      </c>
      <c r="F877" s="7">
        <v>48.69</v>
      </c>
      <c r="G877" s="7">
        <v>273.14999999999998</v>
      </c>
      <c r="H877">
        <f t="shared" si="78"/>
        <v>4.6145753075492978E-2</v>
      </c>
      <c r="I877">
        <f t="shared" si="79"/>
        <v>1.5296068479036785E-2</v>
      </c>
      <c r="J877">
        <f t="shared" si="80"/>
        <v>8.0926667717431136E-2</v>
      </c>
      <c r="K877">
        <f t="shared" si="81"/>
        <v>2.1860939947863624E-2</v>
      </c>
      <c r="L877">
        <f t="shared" si="82"/>
        <v>6.5938833597176836E-3</v>
      </c>
      <c r="M877">
        <f t="shared" si="83"/>
        <v>-2.1620702036792162E-2</v>
      </c>
    </row>
    <row r="878" spans="1:13" x14ac:dyDescent="0.2">
      <c r="A878" s="6">
        <v>44658</v>
      </c>
      <c r="B878" s="7">
        <v>24.36</v>
      </c>
      <c r="C878" s="7">
        <v>126.8</v>
      </c>
      <c r="D878" s="7">
        <v>209.48</v>
      </c>
      <c r="E878" s="7">
        <v>157.78</v>
      </c>
      <c r="F878" s="7">
        <v>49.72</v>
      </c>
      <c r="G878" s="7">
        <v>283.48</v>
      </c>
      <c r="H878">
        <f t="shared" si="78"/>
        <v>7.8302481263045273E-3</v>
      </c>
      <c r="I878">
        <f t="shared" si="79"/>
        <v>-1.8131162518513159E-2</v>
      </c>
      <c r="J878">
        <f t="shared" si="80"/>
        <v>-3.0557541393326764E-2</v>
      </c>
      <c r="K878">
        <f t="shared" si="81"/>
        <v>2.1266494525825668E-2</v>
      </c>
      <c r="L878">
        <f t="shared" si="82"/>
        <v>2.0933596447900774E-2</v>
      </c>
      <c r="M878">
        <f t="shared" si="83"/>
        <v>3.7120479100328709E-2</v>
      </c>
    </row>
    <row r="879" spans="1:13" x14ac:dyDescent="0.2">
      <c r="A879" s="6">
        <v>44657</v>
      </c>
      <c r="B879" s="7">
        <v>25.89</v>
      </c>
      <c r="C879" s="7">
        <v>125.86</v>
      </c>
      <c r="D879" s="7">
        <v>208.89</v>
      </c>
      <c r="E879" s="7">
        <v>158.76</v>
      </c>
      <c r="F879" s="7">
        <v>49.09</v>
      </c>
      <c r="G879" s="7">
        <v>274.24</v>
      </c>
      <c r="H879">
        <f t="shared" si="78"/>
        <v>6.0914350921750002E-2</v>
      </c>
      <c r="I879">
        <f t="shared" si="79"/>
        <v>-7.4408639043380053E-3</v>
      </c>
      <c r="J879">
        <f t="shared" si="80"/>
        <v>-2.8204717887219135E-3</v>
      </c>
      <c r="K879">
        <f t="shared" si="81"/>
        <v>6.1919702479209804E-3</v>
      </c>
      <c r="L879">
        <f t="shared" si="82"/>
        <v>-1.2751918572549203E-2</v>
      </c>
      <c r="M879">
        <f t="shared" si="83"/>
        <v>-3.3137938532640285E-2</v>
      </c>
    </row>
    <row r="880" spans="1:13" x14ac:dyDescent="0.2">
      <c r="A880" s="6">
        <v>44656</v>
      </c>
      <c r="B880" s="7">
        <v>27.31</v>
      </c>
      <c r="C880" s="7">
        <v>129</v>
      </c>
      <c r="D880" s="7">
        <v>213.67</v>
      </c>
      <c r="E880" s="7">
        <v>164.05</v>
      </c>
      <c r="F880" s="7">
        <v>49.43</v>
      </c>
      <c r="G880" s="7">
        <v>272.75</v>
      </c>
      <c r="H880">
        <f t="shared" si="78"/>
        <v>5.3396141722167258E-2</v>
      </c>
      <c r="I880">
        <f t="shared" si="79"/>
        <v>2.4642226262884689E-2</v>
      </c>
      <c r="J880">
        <f t="shared" si="80"/>
        <v>2.2624971132331757E-2</v>
      </c>
      <c r="K880">
        <f t="shared" si="81"/>
        <v>3.2777631492246176E-2</v>
      </c>
      <c r="L880">
        <f t="shared" si="82"/>
        <v>6.9021792489068054E-3</v>
      </c>
      <c r="M880">
        <f t="shared" si="83"/>
        <v>-5.4480106962347926E-3</v>
      </c>
    </row>
    <row r="881" spans="1:13" x14ac:dyDescent="0.2">
      <c r="A881" s="6">
        <v>44655</v>
      </c>
      <c r="B881" s="7">
        <v>26.66</v>
      </c>
      <c r="C881" s="7">
        <v>126.84</v>
      </c>
      <c r="D881" s="7">
        <v>212.83</v>
      </c>
      <c r="E881" s="7">
        <v>168.35</v>
      </c>
      <c r="F881" s="7">
        <v>49.95</v>
      </c>
      <c r="G881" s="7">
        <v>277.27999999999997</v>
      </c>
      <c r="H881">
        <f t="shared" si="78"/>
        <v>-2.4088620735051025E-2</v>
      </c>
      <c r="I881">
        <f t="shared" si="79"/>
        <v>-1.6885954691525533E-2</v>
      </c>
      <c r="J881">
        <f t="shared" si="80"/>
        <v>-3.9390437801843092E-3</v>
      </c>
      <c r="K881">
        <f t="shared" si="81"/>
        <v>2.5873886199972804E-2</v>
      </c>
      <c r="L881">
        <f t="shared" si="82"/>
        <v>1.0464977775694552E-2</v>
      </c>
      <c r="M881">
        <f t="shared" si="83"/>
        <v>1.647220125411572E-2</v>
      </c>
    </row>
    <row r="882" spans="1:13" x14ac:dyDescent="0.2">
      <c r="A882" s="6">
        <v>44652</v>
      </c>
      <c r="B882" s="7">
        <v>27.24</v>
      </c>
      <c r="C882" s="7">
        <v>127.94</v>
      </c>
      <c r="D882" s="7">
        <v>215.13</v>
      </c>
      <c r="E882" s="7">
        <v>163.56</v>
      </c>
      <c r="F882" s="7">
        <v>49.92</v>
      </c>
      <c r="G882" s="7">
        <v>272.88</v>
      </c>
      <c r="H882">
        <f t="shared" si="78"/>
        <v>2.152216653074884E-2</v>
      </c>
      <c r="I882">
        <f t="shared" si="79"/>
        <v>8.634954351844892E-3</v>
      </c>
      <c r="J882">
        <f t="shared" si="80"/>
        <v>1.0748771587880714E-2</v>
      </c>
      <c r="K882">
        <f t="shared" si="81"/>
        <v>-2.8865250110641897E-2</v>
      </c>
      <c r="L882">
        <f t="shared" si="82"/>
        <v>-6.0078103339033064E-4</v>
      </c>
      <c r="M882">
        <f t="shared" si="83"/>
        <v>-1.5995687856905558E-2</v>
      </c>
    </row>
    <row r="883" spans="1:13" x14ac:dyDescent="0.2">
      <c r="A883" s="6">
        <v>44651</v>
      </c>
      <c r="B883" s="7">
        <v>27.64</v>
      </c>
      <c r="C883" s="7">
        <v>132.37</v>
      </c>
      <c r="D883" s="7">
        <v>220.97</v>
      </c>
      <c r="E883" s="7">
        <v>163</v>
      </c>
      <c r="F883" s="7">
        <v>50.88</v>
      </c>
      <c r="G883" s="7">
        <v>282.2</v>
      </c>
      <c r="H883">
        <f t="shared" si="78"/>
        <v>1.4577517618157643E-2</v>
      </c>
      <c r="I883">
        <f t="shared" si="79"/>
        <v>3.4039627703687868E-2</v>
      </c>
      <c r="J883">
        <f t="shared" si="80"/>
        <v>2.6784449134420314E-2</v>
      </c>
      <c r="K883">
        <f t="shared" si="81"/>
        <v>-3.4296946896792157E-3</v>
      </c>
      <c r="L883">
        <f t="shared" si="82"/>
        <v>1.9048194970694411E-2</v>
      </c>
      <c r="M883">
        <f t="shared" si="83"/>
        <v>3.3583901308323248E-2</v>
      </c>
    </row>
    <row r="884" spans="1:13" x14ac:dyDescent="0.2">
      <c r="A884" s="6">
        <v>44650</v>
      </c>
      <c r="B884" s="7">
        <v>28.61</v>
      </c>
      <c r="C884" s="7">
        <v>134.96</v>
      </c>
      <c r="D884" s="7">
        <v>221.58</v>
      </c>
      <c r="E884" s="7">
        <v>166.3</v>
      </c>
      <c r="F884" s="7">
        <v>50.8</v>
      </c>
      <c r="G884" s="7">
        <v>286.55</v>
      </c>
      <c r="H884">
        <f t="shared" si="78"/>
        <v>3.4492308162549605E-2</v>
      </c>
      <c r="I884">
        <f t="shared" si="79"/>
        <v>1.9377406512033395E-2</v>
      </c>
      <c r="J884">
        <f t="shared" si="80"/>
        <v>2.7567523955133694E-3</v>
      </c>
      <c r="K884">
        <f t="shared" si="81"/>
        <v>2.0043185392119762E-2</v>
      </c>
      <c r="L884">
        <f t="shared" si="82"/>
        <v>-1.573564447430552E-3</v>
      </c>
      <c r="M884">
        <f t="shared" si="83"/>
        <v>1.5297001579032823E-2</v>
      </c>
    </row>
    <row r="885" spans="1:13" x14ac:dyDescent="0.2">
      <c r="A885" s="6">
        <v>44649</v>
      </c>
      <c r="B885" s="7">
        <v>28.17</v>
      </c>
      <c r="C885" s="7">
        <v>135.61000000000001</v>
      </c>
      <c r="D885" s="7">
        <v>221.93</v>
      </c>
      <c r="E885" s="7">
        <v>169.32</v>
      </c>
      <c r="F885" s="7">
        <v>50.17</v>
      </c>
      <c r="G885" s="7">
        <v>279.88</v>
      </c>
      <c r="H885">
        <f t="shared" si="78"/>
        <v>-1.5498725173737609E-2</v>
      </c>
      <c r="I885">
        <f t="shared" si="79"/>
        <v>4.8046808621410482E-3</v>
      </c>
      <c r="J885">
        <f t="shared" si="80"/>
        <v>1.5783187421108942E-3</v>
      </c>
      <c r="K885">
        <f t="shared" si="81"/>
        <v>1.7997029453840869E-2</v>
      </c>
      <c r="L885">
        <f t="shared" si="82"/>
        <v>-1.2479116088274513E-2</v>
      </c>
      <c r="M885">
        <f t="shared" si="83"/>
        <v>-2.35521011200505E-2</v>
      </c>
    </row>
    <row r="886" spans="1:13" x14ac:dyDescent="0.2">
      <c r="A886" s="6">
        <v>44648</v>
      </c>
      <c r="B886" s="7">
        <v>27.64</v>
      </c>
      <c r="C886" s="7">
        <v>139.63</v>
      </c>
      <c r="D886" s="7">
        <v>230.42</v>
      </c>
      <c r="E886" s="7">
        <v>168.99</v>
      </c>
      <c r="F886" s="7">
        <v>49.61</v>
      </c>
      <c r="G886" s="7">
        <v>272.98</v>
      </c>
      <c r="H886">
        <f t="shared" si="78"/>
        <v>-1.8993582988812131E-2</v>
      </c>
      <c r="I886">
        <f t="shared" si="79"/>
        <v>2.9212947854249209E-2</v>
      </c>
      <c r="J886">
        <f t="shared" si="80"/>
        <v>3.7541713775269742E-2</v>
      </c>
      <c r="K886">
        <f t="shared" si="81"/>
        <v>-1.9508740779905288E-3</v>
      </c>
      <c r="L886">
        <f t="shared" si="82"/>
        <v>-1.1224812183204138E-2</v>
      </c>
      <c r="M886">
        <f t="shared" si="83"/>
        <v>-2.4962407449646423E-2</v>
      </c>
    </row>
    <row r="887" spans="1:13" x14ac:dyDescent="0.2">
      <c r="A887" s="6">
        <v>44645</v>
      </c>
      <c r="B887" s="7">
        <v>28.1</v>
      </c>
      <c r="C887" s="7">
        <v>141.99</v>
      </c>
      <c r="D887" s="7">
        <v>232.46</v>
      </c>
      <c r="E887" s="7">
        <v>164.77</v>
      </c>
      <c r="F887" s="7">
        <v>49.99</v>
      </c>
      <c r="G887" s="7">
        <v>276.89</v>
      </c>
      <c r="H887">
        <f t="shared" si="78"/>
        <v>1.6505577440230998E-2</v>
      </c>
      <c r="I887">
        <f t="shared" si="79"/>
        <v>1.6760565632163014E-2</v>
      </c>
      <c r="J887">
        <f t="shared" si="80"/>
        <v>8.8144366056545423E-3</v>
      </c>
      <c r="K887">
        <f t="shared" si="81"/>
        <v>-2.5288979505392224E-2</v>
      </c>
      <c r="L887">
        <f t="shared" si="82"/>
        <v>7.6305591125214855E-3</v>
      </c>
      <c r="M887">
        <f t="shared" si="83"/>
        <v>1.4221782976114926E-2</v>
      </c>
    </row>
    <row r="888" spans="1:13" x14ac:dyDescent="0.2">
      <c r="A888" s="6">
        <v>44644</v>
      </c>
      <c r="B888" s="7">
        <v>25.59</v>
      </c>
      <c r="C888" s="7">
        <v>139.19</v>
      </c>
      <c r="D888" s="7">
        <v>223.47</v>
      </c>
      <c r="E888" s="7">
        <v>163.65</v>
      </c>
      <c r="F888" s="7">
        <v>50.04</v>
      </c>
      <c r="G888" s="7">
        <v>282.26</v>
      </c>
      <c r="H888">
        <f t="shared" si="78"/>
        <v>-9.3567926168002649E-2</v>
      </c>
      <c r="I888">
        <f t="shared" si="79"/>
        <v>-1.991672634695725E-2</v>
      </c>
      <c r="J888">
        <f t="shared" si="80"/>
        <v>-3.9440990359267319E-2</v>
      </c>
      <c r="K888">
        <f t="shared" si="81"/>
        <v>-6.8205611221505884E-3</v>
      </c>
      <c r="L888">
        <f t="shared" si="82"/>
        <v>9.9970017323140086E-4</v>
      </c>
      <c r="M888">
        <f t="shared" si="83"/>
        <v>1.9208316581696593E-2</v>
      </c>
    </row>
    <row r="889" spans="1:13" x14ac:dyDescent="0.2">
      <c r="A889" s="6">
        <v>44643</v>
      </c>
      <c r="B889" s="7">
        <v>26.48</v>
      </c>
      <c r="C889" s="7">
        <v>138.11000000000001</v>
      </c>
      <c r="D889" s="7">
        <v>221</v>
      </c>
      <c r="E889" s="7">
        <v>163.41</v>
      </c>
      <c r="F889" s="7">
        <v>48.77</v>
      </c>
      <c r="G889" s="7">
        <v>278.5</v>
      </c>
      <c r="H889">
        <f t="shared" si="78"/>
        <v>3.4188080897110021E-2</v>
      </c>
      <c r="I889">
        <f t="shared" si="79"/>
        <v>-7.7894371494717386E-3</v>
      </c>
      <c r="J889">
        <f t="shared" si="80"/>
        <v>-1.1114475338541813E-2</v>
      </c>
      <c r="K889">
        <f t="shared" si="81"/>
        <v>-1.4676208834967382E-3</v>
      </c>
      <c r="L889">
        <f t="shared" si="82"/>
        <v>-2.5707315876749074E-2</v>
      </c>
      <c r="M889">
        <f t="shared" si="83"/>
        <v>-1.3410572618522191E-2</v>
      </c>
    </row>
    <row r="890" spans="1:13" x14ac:dyDescent="0.2">
      <c r="A890" s="6">
        <v>44642</v>
      </c>
      <c r="B890" s="7">
        <v>26.69</v>
      </c>
      <c r="C890" s="7">
        <v>140.97</v>
      </c>
      <c r="D890" s="7">
        <v>226.45</v>
      </c>
      <c r="E890" s="7">
        <v>164.89</v>
      </c>
      <c r="F890" s="7">
        <v>49.1</v>
      </c>
      <c r="G890" s="7">
        <v>278.89</v>
      </c>
      <c r="H890">
        <f t="shared" si="78"/>
        <v>7.8992323476253113E-3</v>
      </c>
      <c r="I890">
        <f t="shared" si="79"/>
        <v>2.0496632692996571E-2</v>
      </c>
      <c r="J890">
        <f t="shared" si="80"/>
        <v>2.4361468484469975E-2</v>
      </c>
      <c r="K890">
        <f t="shared" si="81"/>
        <v>9.0162048491840893E-3</v>
      </c>
      <c r="L890">
        <f t="shared" si="82"/>
        <v>6.7436650785135544E-3</v>
      </c>
      <c r="M890">
        <f t="shared" si="83"/>
        <v>1.3993794780801706E-3</v>
      </c>
    </row>
    <row r="891" spans="1:13" x14ac:dyDescent="0.2">
      <c r="A891" s="6">
        <v>44641</v>
      </c>
      <c r="B891" s="7">
        <v>26.41</v>
      </c>
      <c r="C891" s="7">
        <v>141.53</v>
      </c>
      <c r="D891" s="7">
        <v>228.45</v>
      </c>
      <c r="E891" s="7">
        <v>161.49</v>
      </c>
      <c r="F891" s="7">
        <v>50.1</v>
      </c>
      <c r="G891" s="7">
        <v>282.89</v>
      </c>
      <c r="H891">
        <f t="shared" si="78"/>
        <v>-1.0546237107391991E-2</v>
      </c>
      <c r="I891">
        <f t="shared" si="79"/>
        <v>3.9646069629134485E-3</v>
      </c>
      <c r="J891">
        <f t="shared" si="80"/>
        <v>8.7931980070575406E-3</v>
      </c>
      <c r="K891">
        <f t="shared" si="81"/>
        <v>-2.0835363671901128E-2</v>
      </c>
      <c r="L891">
        <f t="shared" si="82"/>
        <v>2.0161973290344318E-2</v>
      </c>
      <c r="M891">
        <f t="shared" si="83"/>
        <v>1.4240690657772231E-2</v>
      </c>
    </row>
    <row r="892" spans="1:13" x14ac:dyDescent="0.2">
      <c r="A892" s="6">
        <v>44638</v>
      </c>
      <c r="B892" s="7">
        <v>24.72</v>
      </c>
      <c r="C892" s="7">
        <v>140.49</v>
      </c>
      <c r="D892" s="7">
        <v>222.22</v>
      </c>
      <c r="E892" s="7">
        <v>161.25</v>
      </c>
      <c r="F892" s="7">
        <v>49.82</v>
      </c>
      <c r="G892" s="7">
        <v>275.27999999999997</v>
      </c>
      <c r="H892">
        <f t="shared" si="78"/>
        <v>-6.6130093719550823E-2</v>
      </c>
      <c r="I892">
        <f t="shared" si="79"/>
        <v>-7.3753968821873512E-3</v>
      </c>
      <c r="J892">
        <f t="shared" si="80"/>
        <v>-2.7649485853417793E-2</v>
      </c>
      <c r="K892">
        <f t="shared" si="81"/>
        <v>-1.4872655650937864E-3</v>
      </c>
      <c r="L892">
        <f t="shared" si="82"/>
        <v>-5.604498256784789E-3</v>
      </c>
      <c r="M892">
        <f t="shared" si="83"/>
        <v>-2.7269368013966223E-2</v>
      </c>
    </row>
    <row r="893" spans="1:13" x14ac:dyDescent="0.2">
      <c r="A893" s="6">
        <v>44637</v>
      </c>
      <c r="B893" s="7">
        <v>24.45</v>
      </c>
      <c r="C893" s="7">
        <v>140.69999999999999</v>
      </c>
      <c r="D893" s="7">
        <v>220.46</v>
      </c>
      <c r="E893" s="7">
        <v>157.24</v>
      </c>
      <c r="F893" s="7">
        <v>49.33</v>
      </c>
      <c r="G893" s="7">
        <v>271.45999999999998</v>
      </c>
      <c r="H893">
        <f t="shared" si="78"/>
        <v>-1.0982416668608929E-2</v>
      </c>
      <c r="I893">
        <f t="shared" si="79"/>
        <v>1.4936522567831501E-3</v>
      </c>
      <c r="J893">
        <f t="shared" si="80"/>
        <v>-7.9516096206932001E-3</v>
      </c>
      <c r="K893">
        <f t="shared" si="81"/>
        <v>-2.5182655122222296E-2</v>
      </c>
      <c r="L893">
        <f t="shared" si="82"/>
        <v>-9.8840945883875396E-3</v>
      </c>
      <c r="M893">
        <f t="shared" si="83"/>
        <v>-1.3973962619405899E-2</v>
      </c>
    </row>
    <row r="894" spans="1:13" x14ac:dyDescent="0.2">
      <c r="A894" s="6">
        <v>44636</v>
      </c>
      <c r="B894" s="7">
        <v>22.93</v>
      </c>
      <c r="C894" s="7">
        <v>140.6</v>
      </c>
      <c r="D894" s="7">
        <v>218.22</v>
      </c>
      <c r="E894" s="7">
        <v>153.1</v>
      </c>
      <c r="F894" s="7">
        <v>48.21</v>
      </c>
      <c r="G894" s="7">
        <v>277.2</v>
      </c>
      <c r="H894">
        <f t="shared" si="78"/>
        <v>-6.4184119051067898E-2</v>
      </c>
      <c r="I894">
        <f t="shared" si="79"/>
        <v>-7.1098474377882326E-4</v>
      </c>
      <c r="J894">
        <f t="shared" si="80"/>
        <v>-1.0212544308216777E-2</v>
      </c>
      <c r="K894">
        <f t="shared" si="81"/>
        <v>-2.6681997890021642E-2</v>
      </c>
      <c r="L894">
        <f t="shared" si="82"/>
        <v>-2.2965946828115959E-2</v>
      </c>
      <c r="M894">
        <f t="shared" si="83"/>
        <v>2.092446844592916E-2</v>
      </c>
    </row>
    <row r="895" spans="1:13" x14ac:dyDescent="0.2">
      <c r="A895" s="6">
        <v>44635</v>
      </c>
      <c r="B895" s="7">
        <v>21.29</v>
      </c>
      <c r="C895" s="7">
        <v>137.33000000000001</v>
      </c>
      <c r="D895" s="7">
        <v>212.15</v>
      </c>
      <c r="E895" s="7">
        <v>147.37</v>
      </c>
      <c r="F895" s="7">
        <v>48.07</v>
      </c>
      <c r="G895" s="7">
        <v>277.86</v>
      </c>
      <c r="H895">
        <f t="shared" si="78"/>
        <v>-7.420861796442503E-2</v>
      </c>
      <c r="I895">
        <f t="shared" si="79"/>
        <v>-2.3532190834373853E-2</v>
      </c>
      <c r="J895">
        <f t="shared" si="80"/>
        <v>-2.8210156578618802E-2</v>
      </c>
      <c r="K895">
        <f t="shared" si="81"/>
        <v>-3.8144871438466378E-2</v>
      </c>
      <c r="L895">
        <f t="shared" si="82"/>
        <v>-2.9081865116616082E-3</v>
      </c>
      <c r="M895">
        <f t="shared" si="83"/>
        <v>2.3781224049674193E-3</v>
      </c>
    </row>
    <row r="896" spans="1:13" x14ac:dyDescent="0.2">
      <c r="A896" s="6">
        <v>44634</v>
      </c>
      <c r="B896" s="7">
        <v>22.06</v>
      </c>
      <c r="C896" s="7">
        <v>138.91</v>
      </c>
      <c r="D896" s="7">
        <v>215.32</v>
      </c>
      <c r="E896" s="7">
        <v>141.85</v>
      </c>
      <c r="F896" s="7">
        <v>48.06</v>
      </c>
      <c r="G896" s="7">
        <v>274.5</v>
      </c>
      <c r="H896">
        <f t="shared" si="78"/>
        <v>3.5528534919968387E-2</v>
      </c>
      <c r="I896">
        <f t="shared" si="79"/>
        <v>1.1439452867107357E-2</v>
      </c>
      <c r="J896">
        <f t="shared" si="80"/>
        <v>1.483172204442262E-2</v>
      </c>
      <c r="K896">
        <f t="shared" si="81"/>
        <v>-3.8176269970311275E-2</v>
      </c>
      <c r="L896">
        <f t="shared" si="82"/>
        <v>-2.0805159754640163E-4</v>
      </c>
      <c r="M896">
        <f t="shared" si="83"/>
        <v>-1.2166128771130333E-2</v>
      </c>
    </row>
    <row r="897" spans="1:13" x14ac:dyDescent="0.2">
      <c r="A897" s="6">
        <v>44631</v>
      </c>
      <c r="B897" s="7">
        <v>22.62</v>
      </c>
      <c r="C897" s="7">
        <v>135.16999999999999</v>
      </c>
      <c r="D897" s="7">
        <v>210.19</v>
      </c>
      <c r="E897" s="7">
        <v>145.52000000000001</v>
      </c>
      <c r="F897" s="7">
        <v>47.4</v>
      </c>
      <c r="G897" s="7">
        <v>272.18</v>
      </c>
      <c r="H897">
        <f t="shared" si="78"/>
        <v>2.5068456862618105E-2</v>
      </c>
      <c r="I897">
        <f t="shared" si="79"/>
        <v>-2.7292995913561567E-2</v>
      </c>
      <c r="J897">
        <f t="shared" si="80"/>
        <v>-2.4113410120867911E-2</v>
      </c>
      <c r="K897">
        <f t="shared" si="81"/>
        <v>2.5543372955006652E-2</v>
      </c>
      <c r="L897">
        <f t="shared" si="82"/>
        <v>-1.3828001607292077E-2</v>
      </c>
      <c r="M897">
        <f t="shared" si="83"/>
        <v>-8.4876488174137881E-3</v>
      </c>
    </row>
    <row r="898" spans="1:13" x14ac:dyDescent="0.2">
      <c r="A898" s="6">
        <v>44630</v>
      </c>
      <c r="B898" s="7">
        <v>22.97</v>
      </c>
      <c r="C898" s="7">
        <v>135.19</v>
      </c>
      <c r="D898" s="7">
        <v>215.16</v>
      </c>
      <c r="E898" s="7">
        <v>146.82</v>
      </c>
      <c r="F898" s="7">
        <v>47.7</v>
      </c>
      <c r="G898" s="7">
        <v>280.48</v>
      </c>
      <c r="H898">
        <f t="shared" si="78"/>
        <v>1.5354546013032379E-2</v>
      </c>
      <c r="I898">
        <f t="shared" si="79"/>
        <v>1.4795088057777285E-4</v>
      </c>
      <c r="J898">
        <f t="shared" si="80"/>
        <v>2.3370053833153142E-2</v>
      </c>
      <c r="K898">
        <f t="shared" si="81"/>
        <v>8.8938124727682838E-3</v>
      </c>
      <c r="L898">
        <f t="shared" si="82"/>
        <v>6.3091691932647556E-3</v>
      </c>
      <c r="M898">
        <f t="shared" si="83"/>
        <v>3.0038809040752873E-2</v>
      </c>
    </row>
    <row r="899" spans="1:13" x14ac:dyDescent="0.2">
      <c r="A899" s="6">
        <v>44629</v>
      </c>
      <c r="B899" s="7">
        <v>21.48</v>
      </c>
      <c r="C899" s="7">
        <v>132.91999999999999</v>
      </c>
      <c r="D899" s="7">
        <v>206.57</v>
      </c>
      <c r="E899" s="7">
        <v>139.28</v>
      </c>
      <c r="F899" s="7">
        <v>46.86</v>
      </c>
      <c r="G899" s="7">
        <v>288.89</v>
      </c>
      <c r="H899">
        <f t="shared" si="78"/>
        <v>-6.7066747060342866E-2</v>
      </c>
      <c r="I899">
        <f t="shared" si="79"/>
        <v>-1.6933752889920588E-2</v>
      </c>
      <c r="J899">
        <f t="shared" si="80"/>
        <v>-4.0742599394880501E-2</v>
      </c>
      <c r="K899">
        <f t="shared" si="81"/>
        <v>-5.2721051222701674E-2</v>
      </c>
      <c r="L899">
        <f t="shared" si="82"/>
        <v>-1.7766964814646045E-2</v>
      </c>
      <c r="M899">
        <f t="shared" si="83"/>
        <v>2.9543571646879329E-2</v>
      </c>
    </row>
    <row r="900" spans="1:13" x14ac:dyDescent="0.2">
      <c r="A900" s="6">
        <v>44628</v>
      </c>
      <c r="B900" s="7">
        <v>21.31</v>
      </c>
      <c r="C900" s="7">
        <v>132.37</v>
      </c>
      <c r="D900" s="7">
        <v>202.38</v>
      </c>
      <c r="E900" s="7">
        <v>136.01</v>
      </c>
      <c r="F900" s="7">
        <v>46.47</v>
      </c>
      <c r="G900" s="7">
        <v>285.77</v>
      </c>
      <c r="H900">
        <f t="shared" ref="H900:H963" si="84">LN(B900/B899)</f>
        <v>-7.9458235301382019E-3</v>
      </c>
      <c r="I900">
        <f t="shared" ref="I900:I963" si="85">LN(C900/C899)</f>
        <v>-4.146411760713919E-3</v>
      </c>
      <c r="J900">
        <f t="shared" ref="J900:J963" si="86">LN(D900/D899)</f>
        <v>-2.0492219708547438E-2</v>
      </c>
      <c r="K900">
        <f t="shared" ref="K900:K963" si="87">LN(E900/E899)</f>
        <v>-2.3757883015271701E-2</v>
      </c>
      <c r="L900">
        <f t="shared" ref="L900:L963" si="88">LN(F900/F899)</f>
        <v>-8.3574899827626638E-3</v>
      </c>
      <c r="M900">
        <f t="shared" ref="M900:M963" si="89">LN(G900/G899)</f>
        <v>-1.0858701343063444E-2</v>
      </c>
    </row>
    <row r="901" spans="1:13" x14ac:dyDescent="0.2">
      <c r="A901" s="6">
        <v>44627</v>
      </c>
      <c r="B901" s="7">
        <v>22.9</v>
      </c>
      <c r="C901" s="7">
        <v>128.31</v>
      </c>
      <c r="D901" s="7">
        <v>190.85</v>
      </c>
      <c r="E901" s="7">
        <v>137.44999999999999</v>
      </c>
      <c r="F901" s="7">
        <v>45.65</v>
      </c>
      <c r="G901" s="7">
        <v>282.5</v>
      </c>
      <c r="H901">
        <f t="shared" si="84"/>
        <v>7.1960464449668207E-2</v>
      </c>
      <c r="I901">
        <f t="shared" si="85"/>
        <v>-3.1151820818752479E-2</v>
      </c>
      <c r="J901">
        <f t="shared" si="86"/>
        <v>-5.8659339110375172E-2</v>
      </c>
      <c r="K901">
        <f t="shared" si="87"/>
        <v>1.0531802166592656E-2</v>
      </c>
      <c r="L901">
        <f t="shared" si="88"/>
        <v>-1.7803336055909509E-2</v>
      </c>
      <c r="M901">
        <f t="shared" si="89"/>
        <v>-1.1508740890244586E-2</v>
      </c>
    </row>
    <row r="902" spans="1:13" x14ac:dyDescent="0.2">
      <c r="A902" s="6">
        <v>44624</v>
      </c>
      <c r="B902" s="7">
        <v>23.67</v>
      </c>
      <c r="C902" s="7">
        <v>125.09</v>
      </c>
      <c r="D902" s="7">
        <v>185.49</v>
      </c>
      <c r="E902" s="7">
        <v>145.63999999999999</v>
      </c>
      <c r="F902" s="7">
        <v>45.46</v>
      </c>
      <c r="G902" s="7">
        <v>287.13</v>
      </c>
      <c r="H902">
        <f t="shared" si="84"/>
        <v>3.3071512965698796E-2</v>
      </c>
      <c r="I902">
        <f t="shared" si="85"/>
        <v>-2.5415732680276967E-2</v>
      </c>
      <c r="J902">
        <f t="shared" si="86"/>
        <v>-2.8486806952651621E-2</v>
      </c>
      <c r="K902">
        <f t="shared" si="87"/>
        <v>5.7877608695977981E-2</v>
      </c>
      <c r="L902">
        <f t="shared" si="88"/>
        <v>-4.170788616580233E-3</v>
      </c>
      <c r="M902">
        <f t="shared" si="89"/>
        <v>1.6256524289429086E-2</v>
      </c>
    </row>
    <row r="903" spans="1:13" x14ac:dyDescent="0.2">
      <c r="A903" s="6">
        <v>44622</v>
      </c>
      <c r="B903" s="7">
        <v>24.18</v>
      </c>
      <c r="C903" s="7">
        <v>128.97999999999999</v>
      </c>
      <c r="D903" s="7">
        <v>186.46</v>
      </c>
      <c r="E903" s="7">
        <v>147.9</v>
      </c>
      <c r="F903" s="7">
        <v>45.18</v>
      </c>
      <c r="G903" s="7">
        <v>288.29000000000002</v>
      </c>
      <c r="H903">
        <f t="shared" si="84"/>
        <v>2.1317421660753975E-2</v>
      </c>
      <c r="I903">
        <f t="shared" si="85"/>
        <v>3.0623875355581198E-2</v>
      </c>
      <c r="J903">
        <f t="shared" si="86"/>
        <v>5.2157666299605656E-3</v>
      </c>
      <c r="K903">
        <f t="shared" si="87"/>
        <v>1.5398546409521634E-2</v>
      </c>
      <c r="L903">
        <f t="shared" si="88"/>
        <v>-6.1783073845399199E-3</v>
      </c>
      <c r="M903">
        <f t="shared" si="89"/>
        <v>4.0318430759779698E-3</v>
      </c>
    </row>
    <row r="904" spans="1:13" x14ac:dyDescent="0.2">
      <c r="A904" s="6">
        <v>44622</v>
      </c>
      <c r="B904" s="7">
        <v>23.43</v>
      </c>
      <c r="C904" s="7">
        <v>131.52000000000001</v>
      </c>
      <c r="D904" s="7">
        <v>194.01</v>
      </c>
      <c r="E904" s="7">
        <v>152.05000000000001</v>
      </c>
      <c r="F904" s="7">
        <v>45.77</v>
      </c>
      <c r="G904" s="7">
        <v>299.82</v>
      </c>
      <c r="H904">
        <f t="shared" si="84"/>
        <v>-3.1508592666942344E-2</v>
      </c>
      <c r="I904">
        <f t="shared" si="85"/>
        <v>1.9501577725638628E-2</v>
      </c>
      <c r="J904">
        <f t="shared" si="86"/>
        <v>3.9692965258063491E-2</v>
      </c>
      <c r="K904">
        <f t="shared" si="87"/>
        <v>2.767304440661968E-2</v>
      </c>
      <c r="L904">
        <f t="shared" si="88"/>
        <v>1.2974343625693569E-2</v>
      </c>
      <c r="M904">
        <f t="shared" si="89"/>
        <v>3.9215376632265909E-2</v>
      </c>
    </row>
    <row r="905" spans="1:13" x14ac:dyDescent="0.2">
      <c r="A905" s="6">
        <v>44621</v>
      </c>
      <c r="B905" s="7">
        <v>24.34</v>
      </c>
      <c r="C905" s="7">
        <v>132.51</v>
      </c>
      <c r="D905" s="7">
        <v>197.28</v>
      </c>
      <c r="E905" s="7">
        <v>151.13999999999999</v>
      </c>
      <c r="F905" s="7">
        <v>45.9</v>
      </c>
      <c r="G905" s="7">
        <v>299.49</v>
      </c>
      <c r="H905">
        <f t="shared" si="84"/>
        <v>3.8103835039676841E-2</v>
      </c>
      <c r="I905">
        <f t="shared" si="85"/>
        <v>7.4991829686748357E-3</v>
      </c>
      <c r="J905">
        <f t="shared" si="86"/>
        <v>1.6714335289423204E-2</v>
      </c>
      <c r="K905">
        <f t="shared" si="87"/>
        <v>-6.0028545308000352E-3</v>
      </c>
      <c r="L905">
        <f t="shared" si="88"/>
        <v>2.8362624009485768E-3</v>
      </c>
      <c r="M905">
        <f t="shared" si="89"/>
        <v>-1.1012665677250619E-3</v>
      </c>
    </row>
    <row r="906" spans="1:13" x14ac:dyDescent="0.2">
      <c r="A906" s="6">
        <v>44620</v>
      </c>
      <c r="B906" s="7">
        <v>24.11</v>
      </c>
      <c r="C906" s="7">
        <v>126.23</v>
      </c>
      <c r="D906" s="7">
        <v>189.12</v>
      </c>
      <c r="E906" s="7">
        <v>153.56</v>
      </c>
      <c r="F906" s="7">
        <v>46.29</v>
      </c>
      <c r="G906" s="7">
        <v>309.83</v>
      </c>
      <c r="H906">
        <f t="shared" si="84"/>
        <v>-9.4943953663014242E-3</v>
      </c>
      <c r="I906">
        <f t="shared" si="85"/>
        <v>-4.8552474511774454E-2</v>
      </c>
      <c r="J906">
        <f t="shared" si="86"/>
        <v>-4.2242305198300738E-2</v>
      </c>
      <c r="K906">
        <f t="shared" si="87"/>
        <v>1.5884810540023133E-2</v>
      </c>
      <c r="L906">
        <f t="shared" si="88"/>
        <v>8.4608379766796631E-3</v>
      </c>
      <c r="M906">
        <f t="shared" si="89"/>
        <v>3.3942731946775766E-2</v>
      </c>
    </row>
    <row r="907" spans="1:13" x14ac:dyDescent="0.2">
      <c r="A907" s="6">
        <v>44616</v>
      </c>
      <c r="B907" s="7">
        <v>22.34</v>
      </c>
      <c r="C907" s="7">
        <v>131</v>
      </c>
      <c r="D907" s="7">
        <v>198.83</v>
      </c>
      <c r="E907" s="7">
        <v>151.36000000000001</v>
      </c>
      <c r="F907" s="7">
        <v>46.15</v>
      </c>
      <c r="G907" s="7">
        <v>300.89</v>
      </c>
      <c r="H907">
        <f t="shared" si="84"/>
        <v>-7.6247898552025004E-2</v>
      </c>
      <c r="I907">
        <f t="shared" si="85"/>
        <v>3.7091683436381223E-2</v>
      </c>
      <c r="J907">
        <f t="shared" si="86"/>
        <v>5.0068454052256413E-2</v>
      </c>
      <c r="K907">
        <f t="shared" si="87"/>
        <v>-1.4430264829028783E-2</v>
      </c>
      <c r="L907">
        <f t="shared" si="88"/>
        <v>-3.0289940943180665E-3</v>
      </c>
      <c r="M907">
        <f t="shared" si="89"/>
        <v>-2.9279010511905203E-2</v>
      </c>
    </row>
    <row r="908" spans="1:13" x14ac:dyDescent="0.2">
      <c r="A908" s="6">
        <v>44615</v>
      </c>
      <c r="B908" s="7">
        <v>23.34</v>
      </c>
      <c r="C908" s="7">
        <v>132.97999999999999</v>
      </c>
      <c r="D908" s="7">
        <v>201.73</v>
      </c>
      <c r="E908" s="7">
        <v>144.83000000000001</v>
      </c>
      <c r="F908" s="7">
        <v>46.08</v>
      </c>
      <c r="G908" s="7">
        <v>298.74</v>
      </c>
      <c r="H908">
        <f t="shared" si="84"/>
        <v>4.3789833217355204E-2</v>
      </c>
      <c r="I908">
        <f t="shared" si="85"/>
        <v>1.5001417773157364E-2</v>
      </c>
      <c r="J908">
        <f t="shared" si="86"/>
        <v>1.4479981376269388E-2</v>
      </c>
      <c r="K908">
        <f t="shared" si="87"/>
        <v>-4.410046449080323E-2</v>
      </c>
      <c r="L908">
        <f t="shared" si="88"/>
        <v>-1.5179445612253967E-3</v>
      </c>
      <c r="M908">
        <f t="shared" si="89"/>
        <v>-7.1711195691676732E-3</v>
      </c>
    </row>
    <row r="909" spans="1:13" x14ac:dyDescent="0.2">
      <c r="A909" s="6">
        <v>44614</v>
      </c>
      <c r="B909" s="7">
        <v>23.6</v>
      </c>
      <c r="C909" s="7">
        <v>133.65</v>
      </c>
      <c r="D909" s="7">
        <v>206.83</v>
      </c>
      <c r="E909" s="7">
        <v>150.19999999999999</v>
      </c>
      <c r="F909" s="7">
        <v>46.22</v>
      </c>
      <c r="G909" s="7">
        <v>289.48</v>
      </c>
      <c r="H909">
        <f t="shared" si="84"/>
        <v>1.1078085173154605E-2</v>
      </c>
      <c r="I909">
        <f t="shared" si="85"/>
        <v>5.025701610619205E-3</v>
      </c>
      <c r="J909">
        <f t="shared" si="86"/>
        <v>2.4967030164972925E-2</v>
      </c>
      <c r="K909">
        <f t="shared" si="87"/>
        <v>3.6407098517269192E-2</v>
      </c>
      <c r="L909">
        <f t="shared" si="88"/>
        <v>3.0335884585988441E-3</v>
      </c>
      <c r="M909">
        <f t="shared" si="89"/>
        <v>-3.1487419884219416E-2</v>
      </c>
    </row>
    <row r="910" spans="1:13" x14ac:dyDescent="0.2">
      <c r="A910" s="6">
        <v>44610</v>
      </c>
      <c r="B910" s="7">
        <v>24.46</v>
      </c>
      <c r="C910" s="7">
        <v>133.13999999999999</v>
      </c>
      <c r="D910" s="7">
        <v>202.24</v>
      </c>
      <c r="E910" s="7">
        <v>152.6</v>
      </c>
      <c r="F910" s="7">
        <v>45.67</v>
      </c>
      <c r="G910" s="7">
        <v>288.05</v>
      </c>
      <c r="H910">
        <f t="shared" si="84"/>
        <v>3.5792418227461945E-2</v>
      </c>
      <c r="I910">
        <f t="shared" si="85"/>
        <v>-3.8232364123706162E-3</v>
      </c>
      <c r="J910">
        <f t="shared" si="86"/>
        <v>-2.2442088852739663E-2</v>
      </c>
      <c r="K910">
        <f t="shared" si="87"/>
        <v>1.5852379520322257E-2</v>
      </c>
      <c r="L910">
        <f t="shared" si="88"/>
        <v>-1.1970977649327037E-2</v>
      </c>
      <c r="M910">
        <f t="shared" si="89"/>
        <v>-4.9521338195348185E-3</v>
      </c>
    </row>
    <row r="911" spans="1:13" x14ac:dyDescent="0.2">
      <c r="A911" s="6">
        <v>44609</v>
      </c>
      <c r="B911" s="7">
        <v>26.46</v>
      </c>
      <c r="C911" s="7">
        <v>134.13</v>
      </c>
      <c r="D911" s="7">
        <v>209.74</v>
      </c>
      <c r="E911" s="7">
        <v>154.65</v>
      </c>
      <c r="F911" s="7">
        <v>45.04</v>
      </c>
      <c r="G911" s="7">
        <v>289.10000000000002</v>
      </c>
      <c r="H911">
        <f t="shared" si="84"/>
        <v>7.8595028427783306E-2</v>
      </c>
      <c r="I911">
        <f t="shared" si="85"/>
        <v>7.4082727414413879E-3</v>
      </c>
      <c r="J911">
        <f t="shared" si="86"/>
        <v>3.6413557447766504E-2</v>
      </c>
      <c r="K911">
        <f t="shared" si="87"/>
        <v>1.3344380280722124E-2</v>
      </c>
      <c r="L911">
        <f t="shared" si="88"/>
        <v>-1.3890643365472737E-2</v>
      </c>
      <c r="M911">
        <f t="shared" si="89"/>
        <v>3.6385728439083109E-3</v>
      </c>
    </row>
    <row r="912" spans="1:13" x14ac:dyDescent="0.2">
      <c r="A912" s="6">
        <v>44607</v>
      </c>
      <c r="B912" s="7">
        <v>24.22</v>
      </c>
      <c r="C912" s="7">
        <v>131.78</v>
      </c>
      <c r="D912" s="7">
        <v>206.33</v>
      </c>
      <c r="E912" s="7">
        <v>156.51</v>
      </c>
      <c r="F912" s="7">
        <v>44.21</v>
      </c>
      <c r="G912" s="7">
        <v>288.42</v>
      </c>
      <c r="H912">
        <f t="shared" si="84"/>
        <v>-8.8455420561863549E-2</v>
      </c>
      <c r="I912">
        <f t="shared" si="85"/>
        <v>-1.7675613428325028E-2</v>
      </c>
      <c r="J912">
        <f t="shared" si="86"/>
        <v>-1.6391839609120488E-2</v>
      </c>
      <c r="K912">
        <f t="shared" si="87"/>
        <v>1.1955406571332414E-2</v>
      </c>
      <c r="L912">
        <f t="shared" si="88"/>
        <v>-1.8599975993283013E-2</v>
      </c>
      <c r="M912">
        <f t="shared" si="89"/>
        <v>-2.354897888376064E-3</v>
      </c>
    </row>
    <row r="913" spans="1:13" x14ac:dyDescent="0.2">
      <c r="A913" s="6">
        <v>44606</v>
      </c>
      <c r="B913" s="7">
        <v>23.9</v>
      </c>
      <c r="C913" s="7">
        <v>126.71</v>
      </c>
      <c r="D913" s="7">
        <v>197.23</v>
      </c>
      <c r="E913" s="7">
        <v>155.16999999999999</v>
      </c>
      <c r="F913" s="7">
        <v>43.99</v>
      </c>
      <c r="G913" s="7">
        <v>286.27999999999997</v>
      </c>
      <c r="H913">
        <f t="shared" si="84"/>
        <v>-1.3300279187481253E-2</v>
      </c>
      <c r="I913">
        <f t="shared" si="85"/>
        <v>-3.9232854674856939E-2</v>
      </c>
      <c r="J913">
        <f t="shared" si="86"/>
        <v>-4.5106268381726572E-2</v>
      </c>
      <c r="K913">
        <f t="shared" si="87"/>
        <v>-8.5986156070184377E-3</v>
      </c>
      <c r="L913">
        <f t="shared" si="88"/>
        <v>-4.9886724775234275E-3</v>
      </c>
      <c r="M913">
        <f t="shared" si="89"/>
        <v>-7.4473982635277379E-3</v>
      </c>
    </row>
    <row r="914" spans="1:13" x14ac:dyDescent="0.2">
      <c r="A914" s="6">
        <v>44603</v>
      </c>
      <c r="B914" s="7">
        <v>25.77</v>
      </c>
      <c r="C914" s="7">
        <v>128.91999999999999</v>
      </c>
      <c r="D914" s="7">
        <v>200.84</v>
      </c>
      <c r="E914" s="7">
        <v>153.29</v>
      </c>
      <c r="F914" s="7">
        <v>44.91</v>
      </c>
      <c r="G914" s="7">
        <v>291.73</v>
      </c>
      <c r="H914">
        <f t="shared" si="84"/>
        <v>7.5332565726808673E-2</v>
      </c>
      <c r="I914">
        <f t="shared" si="85"/>
        <v>1.7291046136420168E-2</v>
      </c>
      <c r="J914">
        <f t="shared" si="86"/>
        <v>1.813801075109283E-2</v>
      </c>
      <c r="K914">
        <f t="shared" si="87"/>
        <v>-1.218973791737659E-2</v>
      </c>
      <c r="L914">
        <f t="shared" si="88"/>
        <v>2.0698151739018174E-2</v>
      </c>
      <c r="M914">
        <f t="shared" si="89"/>
        <v>1.8858364104153078E-2</v>
      </c>
    </row>
    <row r="915" spans="1:13" x14ac:dyDescent="0.2">
      <c r="A915" s="6">
        <v>44602</v>
      </c>
      <c r="B915" s="7">
        <v>26.65</v>
      </c>
      <c r="C915" s="7">
        <v>129.51</v>
      </c>
      <c r="D915" s="7">
        <v>204.9</v>
      </c>
      <c r="E915" s="7">
        <v>159</v>
      </c>
      <c r="F915" s="7">
        <v>45.28</v>
      </c>
      <c r="G915" s="7">
        <v>293.07</v>
      </c>
      <c r="H915">
        <f t="shared" si="84"/>
        <v>3.357812594757989E-2</v>
      </c>
      <c r="I915">
        <f t="shared" si="85"/>
        <v>4.5660412882587136E-3</v>
      </c>
      <c r="J915">
        <f t="shared" si="86"/>
        <v>2.0013484078349381E-2</v>
      </c>
      <c r="K915">
        <f t="shared" si="87"/>
        <v>3.6572650042215632E-2</v>
      </c>
      <c r="L915">
        <f t="shared" si="88"/>
        <v>8.2049467952808354E-3</v>
      </c>
      <c r="M915">
        <f t="shared" si="89"/>
        <v>4.5827713584112055E-3</v>
      </c>
    </row>
    <row r="916" spans="1:13" x14ac:dyDescent="0.2">
      <c r="A916" s="6">
        <v>44601</v>
      </c>
      <c r="B916" s="7">
        <v>25.06</v>
      </c>
      <c r="C916" s="7">
        <v>131.63</v>
      </c>
      <c r="D916" s="7">
        <v>206.44</v>
      </c>
      <c r="E916" s="7">
        <v>161.19</v>
      </c>
      <c r="F916" s="7">
        <v>44.16</v>
      </c>
      <c r="G916" s="7">
        <v>293.17</v>
      </c>
      <c r="H916">
        <f t="shared" si="84"/>
        <v>-6.1516201143931248E-2</v>
      </c>
      <c r="I916">
        <f t="shared" si="85"/>
        <v>1.6236858201820598E-2</v>
      </c>
      <c r="J916">
        <f t="shared" si="86"/>
        <v>7.4877580356723459E-3</v>
      </c>
      <c r="K916">
        <f t="shared" si="87"/>
        <v>1.3679591188608276E-2</v>
      </c>
      <c r="L916">
        <f t="shared" si="88"/>
        <v>-2.5046031926087689E-2</v>
      </c>
      <c r="M916">
        <f t="shared" si="89"/>
        <v>3.4115720854906899E-4</v>
      </c>
    </row>
    <row r="917" spans="1:13" x14ac:dyDescent="0.2">
      <c r="A917" s="6">
        <v>44600</v>
      </c>
      <c r="B917" s="7">
        <v>24.68</v>
      </c>
      <c r="C917" s="7">
        <v>136.79</v>
      </c>
      <c r="D917" s="7">
        <v>215.21</v>
      </c>
      <c r="E917" s="7">
        <v>161.41</v>
      </c>
      <c r="F917" s="7">
        <v>43.17</v>
      </c>
      <c r="G917" s="7">
        <v>295.89</v>
      </c>
      <c r="H917">
        <f t="shared" si="84"/>
        <v>-1.527975043073509E-2</v>
      </c>
      <c r="I917">
        <f t="shared" si="85"/>
        <v>3.8451946664036535E-2</v>
      </c>
      <c r="J917">
        <f t="shared" si="86"/>
        <v>4.1604482328967324E-2</v>
      </c>
      <c r="K917">
        <f t="shared" si="87"/>
        <v>1.3639183763485426E-3</v>
      </c>
      <c r="L917">
        <f t="shared" si="88"/>
        <v>-2.2673592401453564E-2</v>
      </c>
      <c r="M917">
        <f t="shared" si="89"/>
        <v>9.2351180925018938E-3</v>
      </c>
    </row>
    <row r="918" spans="1:13" x14ac:dyDescent="0.2">
      <c r="A918" s="6">
        <v>44599</v>
      </c>
      <c r="B918" s="7">
        <v>24.27</v>
      </c>
      <c r="C918" s="7">
        <v>135.66999999999999</v>
      </c>
      <c r="D918" s="7">
        <v>219.65</v>
      </c>
      <c r="E918" s="7">
        <v>157.94</v>
      </c>
      <c r="F918" s="7">
        <v>43.11</v>
      </c>
      <c r="G918" s="7">
        <v>289.45</v>
      </c>
      <c r="H918">
        <f t="shared" si="84"/>
        <v>-1.6752179298677075E-2</v>
      </c>
      <c r="I918">
        <f t="shared" si="85"/>
        <v>-8.2214366041357713E-3</v>
      </c>
      <c r="J918">
        <f t="shared" si="86"/>
        <v>2.0421074812294909E-2</v>
      </c>
      <c r="K918">
        <f t="shared" si="87"/>
        <v>-2.1732497715753401E-2</v>
      </c>
      <c r="L918">
        <f t="shared" si="88"/>
        <v>-1.3908208083429645E-3</v>
      </c>
      <c r="M918">
        <f t="shared" si="89"/>
        <v>-2.2005193108998258E-2</v>
      </c>
    </row>
    <row r="919" spans="1:13" x14ac:dyDescent="0.2">
      <c r="A919" s="6">
        <v>44596</v>
      </c>
      <c r="B919" s="7">
        <v>23.9</v>
      </c>
      <c r="C919" s="7">
        <v>134.6</v>
      </c>
      <c r="D919" s="7">
        <v>216.37</v>
      </c>
      <c r="E919" s="7">
        <v>157.63999999999999</v>
      </c>
      <c r="F919" s="7">
        <v>42.85</v>
      </c>
      <c r="G919" s="7">
        <v>285.45999999999998</v>
      </c>
      <c r="H919">
        <f t="shared" si="84"/>
        <v>-1.5362560801045106E-2</v>
      </c>
      <c r="I919">
        <f t="shared" si="85"/>
        <v>-7.9180492865897432E-3</v>
      </c>
      <c r="J919">
        <f t="shared" si="86"/>
        <v>-1.5045465222450352E-2</v>
      </c>
      <c r="K919">
        <f t="shared" si="87"/>
        <v>-1.9012617426319969E-3</v>
      </c>
      <c r="L919">
        <f t="shared" si="88"/>
        <v>-6.0493437152543805E-3</v>
      </c>
      <c r="M919">
        <f t="shared" si="89"/>
        <v>-1.3880656323391244E-2</v>
      </c>
    </row>
    <row r="920" spans="1:13" x14ac:dyDescent="0.2">
      <c r="A920" s="6">
        <v>44595</v>
      </c>
      <c r="B920" s="7">
        <v>25.19</v>
      </c>
      <c r="C920" s="7">
        <v>133.36000000000001</v>
      </c>
      <c r="D920" s="7">
        <v>218.2</v>
      </c>
      <c r="E920" s="7">
        <v>138.85</v>
      </c>
      <c r="F920" s="7">
        <v>43.24</v>
      </c>
      <c r="G920" s="7">
        <v>286.2</v>
      </c>
      <c r="H920">
        <f t="shared" si="84"/>
        <v>5.2568631427053973E-2</v>
      </c>
      <c r="I920">
        <f t="shared" si="85"/>
        <v>-9.2551787680887222E-3</v>
      </c>
      <c r="J920">
        <f t="shared" si="86"/>
        <v>8.4221681996321657E-3</v>
      </c>
      <c r="K920">
        <f t="shared" si="87"/>
        <v>-0.12691973857399436</v>
      </c>
      <c r="L920">
        <f t="shared" si="88"/>
        <v>9.0603477272187261E-3</v>
      </c>
      <c r="M920">
        <f t="shared" si="89"/>
        <v>2.5889529207280618E-3</v>
      </c>
    </row>
    <row r="921" spans="1:13" x14ac:dyDescent="0.2">
      <c r="A921" s="6">
        <v>44594</v>
      </c>
      <c r="B921" s="7">
        <v>24.59</v>
      </c>
      <c r="C921" s="7">
        <v>137.66999999999999</v>
      </c>
      <c r="D921" s="7">
        <v>226.67</v>
      </c>
      <c r="E921" s="7">
        <v>150.61000000000001</v>
      </c>
      <c r="F921" s="7">
        <v>42.65</v>
      </c>
      <c r="G921" s="7">
        <v>283.11</v>
      </c>
      <c r="H921">
        <f t="shared" si="84"/>
        <v>-2.4107234136417695E-2</v>
      </c>
      <c r="I921">
        <f t="shared" si="85"/>
        <v>3.1807278632312995E-2</v>
      </c>
      <c r="J921">
        <f t="shared" si="86"/>
        <v>3.8083141877294779E-2</v>
      </c>
      <c r="K921">
        <f t="shared" si="87"/>
        <v>8.1299500470948791E-2</v>
      </c>
      <c r="L921">
        <f t="shared" si="88"/>
        <v>-1.3738718833319516E-2</v>
      </c>
      <c r="M921">
        <f t="shared" si="89"/>
        <v>-1.0855352420999092E-2</v>
      </c>
    </row>
    <row r="922" spans="1:13" x14ac:dyDescent="0.2">
      <c r="A922" s="6">
        <v>44593</v>
      </c>
      <c r="B922" s="7">
        <v>24.44</v>
      </c>
      <c r="C922" s="7">
        <v>140.62</v>
      </c>
      <c r="D922" s="7">
        <v>230.58</v>
      </c>
      <c r="E922" s="7">
        <v>151.19</v>
      </c>
      <c r="F922" s="7">
        <v>42.82</v>
      </c>
      <c r="G922" s="7">
        <v>278.79000000000002</v>
      </c>
      <c r="H922">
        <f t="shared" si="84"/>
        <v>-6.1187219247065446E-3</v>
      </c>
      <c r="I922">
        <f t="shared" si="85"/>
        <v>2.1201699696163614E-2</v>
      </c>
      <c r="J922">
        <f t="shared" si="86"/>
        <v>1.7102658528542532E-2</v>
      </c>
      <c r="K922">
        <f t="shared" si="87"/>
        <v>3.8436097683523665E-3</v>
      </c>
      <c r="L922">
        <f t="shared" si="88"/>
        <v>3.9780092238486118E-3</v>
      </c>
      <c r="M922">
        <f t="shared" si="89"/>
        <v>-1.537670446399369E-2</v>
      </c>
    </row>
    <row r="923" spans="1:13" x14ac:dyDescent="0.2">
      <c r="A923" s="6">
        <v>44592</v>
      </c>
      <c r="B923" s="7">
        <v>22.8</v>
      </c>
      <c r="C923" s="7">
        <v>138.44</v>
      </c>
      <c r="D923" s="7">
        <v>218.83</v>
      </c>
      <c r="E923" s="7">
        <v>149.57</v>
      </c>
      <c r="F923" s="7">
        <v>43.26</v>
      </c>
      <c r="G923" s="7">
        <v>285.76</v>
      </c>
      <c r="H923">
        <f t="shared" si="84"/>
        <v>-6.9460598342999516E-2</v>
      </c>
      <c r="I923">
        <f t="shared" si="85"/>
        <v>-1.5624198003871808E-2</v>
      </c>
      <c r="J923">
        <f t="shared" si="86"/>
        <v>-5.2302701138538937E-2</v>
      </c>
      <c r="K923">
        <f t="shared" si="87"/>
        <v>-1.0772813320874644E-2</v>
      </c>
      <c r="L923">
        <f t="shared" si="88"/>
        <v>1.0223137363375817E-2</v>
      </c>
      <c r="M923">
        <f t="shared" si="89"/>
        <v>2.4693487450776548E-2</v>
      </c>
    </row>
    <row r="924" spans="1:13" x14ac:dyDescent="0.2">
      <c r="A924" s="6">
        <v>44589</v>
      </c>
      <c r="B924" s="7">
        <v>21.9</v>
      </c>
      <c r="C924" s="7">
        <v>138.25</v>
      </c>
      <c r="D924" s="7">
        <v>223.53</v>
      </c>
      <c r="E924" s="7">
        <v>143.97999999999999</v>
      </c>
      <c r="F924" s="7">
        <v>43.75</v>
      </c>
      <c r="G924" s="7">
        <v>313.51</v>
      </c>
      <c r="H924">
        <f t="shared" si="84"/>
        <v>-4.0273899137940078E-2</v>
      </c>
      <c r="I924">
        <f t="shared" si="85"/>
        <v>-1.3733783646993195E-3</v>
      </c>
      <c r="J924">
        <f t="shared" si="86"/>
        <v>2.1250460567477078E-2</v>
      </c>
      <c r="K924">
        <f t="shared" si="87"/>
        <v>-3.8090109630078417E-2</v>
      </c>
      <c r="L924">
        <f t="shared" si="88"/>
        <v>1.1263192278710869E-2</v>
      </c>
      <c r="M924">
        <f t="shared" si="89"/>
        <v>9.2678959802747915E-2</v>
      </c>
    </row>
    <row r="925" spans="1:13" x14ac:dyDescent="0.2">
      <c r="A925" s="6">
        <v>44588</v>
      </c>
      <c r="B925" s="7">
        <v>22.73</v>
      </c>
      <c r="C925" s="7">
        <v>142.31</v>
      </c>
      <c r="D925" s="7">
        <v>235.64</v>
      </c>
      <c r="E925" s="7">
        <v>139.63999999999999</v>
      </c>
      <c r="F925" s="7">
        <v>44.03</v>
      </c>
      <c r="G925" s="7">
        <v>314.48</v>
      </c>
      <c r="H925">
        <f t="shared" si="84"/>
        <v>3.7199001041996749E-2</v>
      </c>
      <c r="I925">
        <f t="shared" si="85"/>
        <v>2.8944136293124412E-2</v>
      </c>
      <c r="J925">
        <f t="shared" si="86"/>
        <v>5.2759583419740734E-2</v>
      </c>
      <c r="K925">
        <f t="shared" si="87"/>
        <v>-3.060671880432158E-2</v>
      </c>
      <c r="L925">
        <f t="shared" si="88"/>
        <v>6.3796069640389879E-3</v>
      </c>
      <c r="M925">
        <f t="shared" si="89"/>
        <v>3.0892236227228241E-3</v>
      </c>
    </row>
    <row r="926" spans="1:13" x14ac:dyDescent="0.2">
      <c r="A926" s="6">
        <v>44587</v>
      </c>
      <c r="B926" s="7">
        <v>22.28</v>
      </c>
      <c r="C926" s="7">
        <v>142.11000000000001</v>
      </c>
      <c r="D926" s="7">
        <v>236.3</v>
      </c>
      <c r="E926" s="7">
        <v>138.87</v>
      </c>
      <c r="F926" s="7">
        <v>42.33</v>
      </c>
      <c r="G926" s="7">
        <v>316.42</v>
      </c>
      <c r="H926">
        <f t="shared" si="84"/>
        <v>-1.9996222805368578E-2</v>
      </c>
      <c r="I926">
        <f t="shared" si="85"/>
        <v>-1.4063710917984235E-3</v>
      </c>
      <c r="J926">
        <f t="shared" si="86"/>
        <v>2.7969675393756414E-3</v>
      </c>
      <c r="K926">
        <f t="shared" si="87"/>
        <v>-5.5294385255463341E-3</v>
      </c>
      <c r="L926">
        <f t="shared" si="88"/>
        <v>-3.9375165234830173E-2</v>
      </c>
      <c r="M926">
        <f t="shared" si="89"/>
        <v>6.149963907313016E-3</v>
      </c>
    </row>
    <row r="927" spans="1:13" x14ac:dyDescent="0.2">
      <c r="A927" s="6">
        <v>44586</v>
      </c>
      <c r="B927" s="7">
        <v>23.33</v>
      </c>
      <c r="C927" s="7">
        <v>146.99</v>
      </c>
      <c r="D927" s="7">
        <v>321.02</v>
      </c>
      <c r="E927" s="7">
        <v>139.99</v>
      </c>
      <c r="F927" s="7">
        <v>42.6</v>
      </c>
      <c r="G927" s="7">
        <v>319.29000000000002</v>
      </c>
      <c r="H927">
        <f t="shared" si="84"/>
        <v>4.605067097425531E-2</v>
      </c>
      <c r="I927">
        <f t="shared" si="85"/>
        <v>3.3763151650126257E-2</v>
      </c>
      <c r="J927">
        <f t="shared" si="86"/>
        <v>0.3064012422922095</v>
      </c>
      <c r="K927">
        <f t="shared" si="87"/>
        <v>8.0327477754450864E-3</v>
      </c>
      <c r="L927">
        <f t="shared" si="88"/>
        <v>6.358198742492503E-3</v>
      </c>
      <c r="M927">
        <f t="shared" si="89"/>
        <v>9.0293357001448235E-3</v>
      </c>
    </row>
    <row r="928" spans="1:13" x14ac:dyDescent="0.2">
      <c r="A928" s="6">
        <v>44585</v>
      </c>
      <c r="B928" s="7">
        <v>23.33</v>
      </c>
      <c r="C928" s="7">
        <v>136.69999999999999</v>
      </c>
      <c r="D928" s="7">
        <v>317.05</v>
      </c>
      <c r="E928" s="7">
        <v>144.54</v>
      </c>
      <c r="F928" s="7">
        <v>42.47</v>
      </c>
      <c r="G928" s="7">
        <v>317.75</v>
      </c>
      <c r="H928">
        <f t="shared" si="84"/>
        <v>0</v>
      </c>
      <c r="I928">
        <f t="shared" si="85"/>
        <v>-7.2575813523992588E-2</v>
      </c>
      <c r="J928">
        <f t="shared" si="86"/>
        <v>-1.2443936339031019E-2</v>
      </c>
      <c r="K928">
        <f t="shared" si="87"/>
        <v>3.1985294368101151E-2</v>
      </c>
      <c r="L928">
        <f t="shared" si="88"/>
        <v>-3.0563089501449781E-3</v>
      </c>
      <c r="M928">
        <f t="shared" si="89"/>
        <v>-4.8348706514992285E-3</v>
      </c>
    </row>
    <row r="929" spans="1:13" x14ac:dyDescent="0.2">
      <c r="A929" s="6">
        <v>44582</v>
      </c>
      <c r="B929" s="7">
        <v>24.1</v>
      </c>
      <c r="C929" s="7">
        <v>134.38</v>
      </c>
      <c r="D929" s="7">
        <v>311.33999999999997</v>
      </c>
      <c r="E929" s="7">
        <v>142.63999999999999</v>
      </c>
      <c r="F929" s="7">
        <v>42.9</v>
      </c>
      <c r="G929" s="7">
        <v>316.60000000000002</v>
      </c>
      <c r="H929">
        <f t="shared" si="84"/>
        <v>3.2471754463270844E-2</v>
      </c>
      <c r="I929">
        <f t="shared" si="85"/>
        <v>-1.7117136237899896E-2</v>
      </c>
      <c r="J929">
        <f t="shared" si="86"/>
        <v>-1.8173927538337471E-2</v>
      </c>
      <c r="K929">
        <f t="shared" si="87"/>
        <v>-1.3232312299950094E-2</v>
      </c>
      <c r="L929">
        <f t="shared" si="88"/>
        <v>1.0073881608791585E-2</v>
      </c>
      <c r="M929">
        <f t="shared" si="89"/>
        <v>-3.6257626226515851E-3</v>
      </c>
    </row>
    <row r="930" spans="1:13" x14ac:dyDescent="0.2">
      <c r="A930" s="6">
        <v>44581</v>
      </c>
      <c r="B930" s="7">
        <v>25.02</v>
      </c>
      <c r="C930" s="7">
        <v>132.44</v>
      </c>
      <c r="D930" s="7">
        <v>299.86</v>
      </c>
      <c r="E930" s="7">
        <v>151.66999999999999</v>
      </c>
      <c r="F930" s="7">
        <v>43.14</v>
      </c>
      <c r="G930" s="7">
        <v>320.94</v>
      </c>
      <c r="H930">
        <f t="shared" si="84"/>
        <v>3.7463664542155641E-2</v>
      </c>
      <c r="I930">
        <f t="shared" si="85"/>
        <v>-1.4541894812958365E-2</v>
      </c>
      <c r="J930">
        <f t="shared" si="86"/>
        <v>-3.7569863540946047E-2</v>
      </c>
      <c r="K930">
        <f t="shared" si="87"/>
        <v>6.1383134508420541E-2</v>
      </c>
      <c r="L930">
        <f t="shared" si="88"/>
        <v>5.5788150270391548E-3</v>
      </c>
      <c r="M930">
        <f t="shared" si="89"/>
        <v>1.36150423243019E-2</v>
      </c>
    </row>
    <row r="931" spans="1:13" x14ac:dyDescent="0.2">
      <c r="A931" s="6">
        <v>44580</v>
      </c>
      <c r="B931" s="7">
        <v>25.85</v>
      </c>
      <c r="C931" s="7">
        <v>128.12</v>
      </c>
      <c r="D931" s="7">
        <v>292.83</v>
      </c>
      <c r="E931" s="7">
        <v>156.30000000000001</v>
      </c>
      <c r="F931" s="7">
        <v>43.65</v>
      </c>
      <c r="G931" s="7">
        <v>329.33</v>
      </c>
      <c r="H931">
        <f t="shared" si="84"/>
        <v>3.2635095915673144E-2</v>
      </c>
      <c r="I931">
        <f t="shared" si="85"/>
        <v>-3.3162387938088067E-2</v>
      </c>
      <c r="J931">
        <f t="shared" si="86"/>
        <v>-2.3723463211773762E-2</v>
      </c>
      <c r="K931">
        <f t="shared" si="87"/>
        <v>3.0070129364125599E-2</v>
      </c>
      <c r="L931">
        <f t="shared" si="88"/>
        <v>1.1752641324600925E-2</v>
      </c>
      <c r="M931">
        <f t="shared" si="89"/>
        <v>2.5806097799832162E-2</v>
      </c>
    </row>
    <row r="932" spans="1:13" x14ac:dyDescent="0.2">
      <c r="A932" s="6">
        <v>44579</v>
      </c>
      <c r="B932" s="7">
        <v>26.89</v>
      </c>
      <c r="C932" s="7">
        <v>128.35</v>
      </c>
      <c r="D932" s="7">
        <v>292.82</v>
      </c>
      <c r="E932" s="7">
        <v>158.91999999999999</v>
      </c>
      <c r="F932" s="7">
        <v>43.75</v>
      </c>
      <c r="G932" s="7">
        <v>326.68</v>
      </c>
      <c r="H932">
        <f t="shared" si="84"/>
        <v>3.9443869326335042E-2</v>
      </c>
      <c r="I932">
        <f t="shared" si="85"/>
        <v>1.7935825761918312E-3</v>
      </c>
      <c r="J932">
        <f t="shared" si="86"/>
        <v>-3.4150089647245095E-5</v>
      </c>
      <c r="K932">
        <f t="shared" si="87"/>
        <v>1.6623693518967201E-2</v>
      </c>
      <c r="L932">
        <f t="shared" si="88"/>
        <v>2.2883305180122159E-3</v>
      </c>
      <c r="M932">
        <f t="shared" si="89"/>
        <v>-8.0791890809709492E-3</v>
      </c>
    </row>
    <row r="933" spans="1:13" x14ac:dyDescent="0.2">
      <c r="A933" s="6">
        <v>44575</v>
      </c>
      <c r="B933" s="7">
        <v>26.52</v>
      </c>
      <c r="C933" s="7">
        <v>126.07</v>
      </c>
      <c r="D933" s="7">
        <v>298.31</v>
      </c>
      <c r="E933" s="7">
        <v>162.13999999999999</v>
      </c>
      <c r="F933" s="7">
        <v>43.74</v>
      </c>
      <c r="G933" s="7">
        <v>322.98</v>
      </c>
      <c r="H933">
        <f t="shared" si="84"/>
        <v>-1.3855304963111567E-2</v>
      </c>
      <c r="I933">
        <f t="shared" si="85"/>
        <v>-1.7923599073971379E-2</v>
      </c>
      <c r="J933">
        <f t="shared" si="86"/>
        <v>1.8575128492166186E-2</v>
      </c>
      <c r="K933">
        <f t="shared" si="87"/>
        <v>2.0059228613162818E-2</v>
      </c>
      <c r="L933">
        <f t="shared" si="88"/>
        <v>-2.2859755500158156E-4</v>
      </c>
      <c r="M933">
        <f t="shared" si="89"/>
        <v>-1.1390696689153967E-2</v>
      </c>
    </row>
    <row r="934" spans="1:13" x14ac:dyDescent="0.2">
      <c r="A934" s="6">
        <v>44574</v>
      </c>
      <c r="B934" s="7">
        <v>27.94</v>
      </c>
      <c r="C934" s="7">
        <v>129.91</v>
      </c>
      <c r="D934" s="7">
        <v>306.82</v>
      </c>
      <c r="E934" s="7">
        <v>161.21</v>
      </c>
      <c r="F934" s="7">
        <v>44.17</v>
      </c>
      <c r="G934" s="7">
        <v>325.08</v>
      </c>
      <c r="H934">
        <f t="shared" si="84"/>
        <v>5.2160188511154032E-2</v>
      </c>
      <c r="I934">
        <f t="shared" si="85"/>
        <v>3.0004594764463408E-2</v>
      </c>
      <c r="J934">
        <f t="shared" si="86"/>
        <v>2.8128042159125153E-2</v>
      </c>
      <c r="K934">
        <f t="shared" si="87"/>
        <v>-5.7522966716538424E-3</v>
      </c>
      <c r="L934">
        <f t="shared" si="88"/>
        <v>9.7828103598133001E-3</v>
      </c>
      <c r="M934">
        <f t="shared" si="89"/>
        <v>6.4809040840831415E-3</v>
      </c>
    </row>
    <row r="935" spans="1:13" x14ac:dyDescent="0.2">
      <c r="A935" s="6">
        <v>44573</v>
      </c>
      <c r="B935" s="7">
        <v>27.76</v>
      </c>
      <c r="C935" s="7">
        <v>129.46</v>
      </c>
      <c r="D935" s="7">
        <v>301.31</v>
      </c>
      <c r="E935" s="7">
        <v>165.21</v>
      </c>
      <c r="F935" s="7">
        <v>44.7</v>
      </c>
      <c r="G935" s="7">
        <v>329.72</v>
      </c>
      <c r="H935">
        <f t="shared" si="84"/>
        <v>-6.4632181902120047E-3</v>
      </c>
      <c r="I935">
        <f t="shared" si="85"/>
        <v>-3.4699498902772755E-3</v>
      </c>
      <c r="J935">
        <f t="shared" si="86"/>
        <v>-1.8121621319017248E-2</v>
      </c>
      <c r="K935">
        <f t="shared" si="87"/>
        <v>2.4509529054592628E-2</v>
      </c>
      <c r="L935">
        <f t="shared" si="88"/>
        <v>1.1927676011088156E-2</v>
      </c>
      <c r="M935">
        <f t="shared" si="89"/>
        <v>1.4172503560022873E-2</v>
      </c>
    </row>
    <row r="936" spans="1:13" x14ac:dyDescent="0.2">
      <c r="A936" s="6">
        <v>44572</v>
      </c>
      <c r="B936" s="7">
        <v>27.35</v>
      </c>
      <c r="C936" s="7">
        <v>132.38999999999999</v>
      </c>
      <c r="D936" s="7">
        <v>314.62</v>
      </c>
      <c r="E936" s="7">
        <v>165.36</v>
      </c>
      <c r="F936" s="7">
        <v>44.65</v>
      </c>
      <c r="G936" s="7">
        <v>337.79</v>
      </c>
      <c r="H936">
        <f t="shared" si="84"/>
        <v>-1.487960677061355E-2</v>
      </c>
      <c r="I936">
        <f t="shared" si="85"/>
        <v>2.2380158832201291E-2</v>
      </c>
      <c r="J936">
        <f t="shared" si="86"/>
        <v>4.3225926296748603E-2</v>
      </c>
      <c r="K936">
        <f t="shared" si="87"/>
        <v>9.075234310130572E-4</v>
      </c>
      <c r="L936">
        <f t="shared" si="88"/>
        <v>-1.119194297015223E-3</v>
      </c>
      <c r="M936">
        <f t="shared" si="89"/>
        <v>2.4180591174914758E-2</v>
      </c>
    </row>
    <row r="937" spans="1:13" x14ac:dyDescent="0.2">
      <c r="A937" s="6">
        <v>44571</v>
      </c>
      <c r="B937" s="7">
        <v>27.19</v>
      </c>
      <c r="C937" s="7">
        <v>134.19</v>
      </c>
      <c r="D937" s="7">
        <v>317.63</v>
      </c>
      <c r="E937" s="7">
        <v>161.49</v>
      </c>
      <c r="F937" s="7">
        <v>44.67</v>
      </c>
      <c r="G937" s="7">
        <v>333.24</v>
      </c>
      <c r="H937">
        <f t="shared" si="84"/>
        <v>-5.8672702236108485E-3</v>
      </c>
      <c r="I937">
        <f t="shared" si="85"/>
        <v>1.3504594163300982E-2</v>
      </c>
      <c r="J937">
        <f t="shared" si="86"/>
        <v>9.5216219559915698E-3</v>
      </c>
      <c r="K937">
        <f t="shared" si="87"/>
        <v>-2.3681694132537189E-2</v>
      </c>
      <c r="L937">
        <f t="shared" si="88"/>
        <v>4.4782804151940737E-4</v>
      </c>
      <c r="M937">
        <f t="shared" si="89"/>
        <v>-1.3561449513233091E-2</v>
      </c>
    </row>
    <row r="938" spans="1:13" x14ac:dyDescent="0.2">
      <c r="A938" s="6">
        <v>44568</v>
      </c>
      <c r="B938" s="7">
        <v>28.12</v>
      </c>
      <c r="C938" s="7">
        <v>135.07</v>
      </c>
      <c r="D938" s="7">
        <v>316.2</v>
      </c>
      <c r="E938" s="7">
        <v>162.55000000000001</v>
      </c>
      <c r="F938" s="7">
        <v>44.32</v>
      </c>
      <c r="G938" s="7">
        <v>331.69</v>
      </c>
      <c r="H938">
        <f t="shared" si="84"/>
        <v>3.3631808298084806E-2</v>
      </c>
      <c r="I938">
        <f t="shared" si="85"/>
        <v>6.5364564598061909E-3</v>
      </c>
      <c r="J938">
        <f t="shared" si="86"/>
        <v>-4.5122585749788726E-3</v>
      </c>
      <c r="K938">
        <f t="shared" si="87"/>
        <v>6.5424255089388443E-3</v>
      </c>
      <c r="L938">
        <f t="shared" si="88"/>
        <v>-7.8660929249989957E-3</v>
      </c>
      <c r="M938">
        <f t="shared" si="89"/>
        <v>-4.6621533320004172E-3</v>
      </c>
    </row>
    <row r="939" spans="1:13" x14ac:dyDescent="0.2">
      <c r="A939" s="6">
        <v>44567</v>
      </c>
      <c r="B939" s="7">
        <v>27.55</v>
      </c>
      <c r="C939" s="7">
        <v>138.53</v>
      </c>
      <c r="D939" s="7">
        <v>329.87</v>
      </c>
      <c r="E939" s="7">
        <v>163.25</v>
      </c>
      <c r="F939" s="7">
        <v>43.6</v>
      </c>
      <c r="G939" s="7">
        <v>331.29</v>
      </c>
      <c r="H939">
        <f t="shared" si="84"/>
        <v>-2.0478531343540676E-2</v>
      </c>
      <c r="I939">
        <f t="shared" si="85"/>
        <v>2.5293746097114961E-2</v>
      </c>
      <c r="J939">
        <f t="shared" si="86"/>
        <v>4.2323712676707537E-2</v>
      </c>
      <c r="K939">
        <f t="shared" si="87"/>
        <v>4.2971214066259622E-3</v>
      </c>
      <c r="L939">
        <f t="shared" si="88"/>
        <v>-1.6378892084039743E-2</v>
      </c>
      <c r="M939">
        <f t="shared" si="89"/>
        <v>-1.2066730475589042E-3</v>
      </c>
    </row>
    <row r="940" spans="1:13" x14ac:dyDescent="0.2">
      <c r="A940" s="6">
        <v>44566</v>
      </c>
      <c r="B940" s="7">
        <v>29.23</v>
      </c>
      <c r="C940" s="7">
        <v>137.63999999999999</v>
      </c>
      <c r="D940" s="7">
        <v>324.48</v>
      </c>
      <c r="E940" s="7">
        <v>164.36</v>
      </c>
      <c r="F940" s="7">
        <v>43.07</v>
      </c>
      <c r="G940" s="7">
        <v>322.14999999999998</v>
      </c>
      <c r="H940">
        <f t="shared" si="84"/>
        <v>5.9193043524231125E-2</v>
      </c>
      <c r="I940">
        <f t="shared" si="85"/>
        <v>-6.4453277405081416E-3</v>
      </c>
      <c r="J940">
        <f t="shared" si="86"/>
        <v>-1.6474736489315463E-2</v>
      </c>
      <c r="K940">
        <f t="shared" si="87"/>
        <v>6.7763758586687319E-3</v>
      </c>
      <c r="L940">
        <f t="shared" si="88"/>
        <v>-1.2230451288969501E-2</v>
      </c>
      <c r="M940">
        <f t="shared" si="89"/>
        <v>-2.7976849142497786E-2</v>
      </c>
    </row>
    <row r="941" spans="1:13" x14ac:dyDescent="0.2">
      <c r="A941" s="6">
        <v>44565</v>
      </c>
      <c r="B941" s="7">
        <v>30.06</v>
      </c>
      <c r="C941" s="7">
        <v>140.46</v>
      </c>
      <c r="D941" s="7">
        <v>331.22</v>
      </c>
      <c r="E941" s="7">
        <v>167.52</v>
      </c>
      <c r="F941" s="7">
        <v>43.04</v>
      </c>
      <c r="G941" s="7">
        <v>322.92</v>
      </c>
      <c r="H941">
        <f t="shared" si="84"/>
        <v>2.7999805201673705E-2</v>
      </c>
      <c r="I941">
        <f t="shared" si="85"/>
        <v>2.0281169801594955E-2</v>
      </c>
      <c r="J941">
        <f t="shared" si="86"/>
        <v>2.0558906198581306E-2</v>
      </c>
      <c r="K941">
        <f t="shared" si="87"/>
        <v>1.9043603107017752E-2</v>
      </c>
      <c r="L941">
        <f t="shared" si="88"/>
        <v>-6.9678321249024618E-4</v>
      </c>
      <c r="M941">
        <f t="shared" si="89"/>
        <v>2.3873389421633679E-3</v>
      </c>
    </row>
    <row r="942" spans="1:13" x14ac:dyDescent="0.2">
      <c r="A942" s="6">
        <v>44564</v>
      </c>
      <c r="B942" s="7">
        <v>29.35</v>
      </c>
      <c r="C942" s="7">
        <v>138.78</v>
      </c>
      <c r="D942" s="7">
        <v>332.32</v>
      </c>
      <c r="E942" s="7">
        <v>170.4</v>
      </c>
      <c r="F942" s="7">
        <v>43.48</v>
      </c>
      <c r="G942" s="7">
        <v>324.45999999999998</v>
      </c>
      <c r="H942">
        <f t="shared" si="84"/>
        <v>-2.3902838050722932E-2</v>
      </c>
      <c r="I942">
        <f t="shared" si="85"/>
        <v>-1.2032805259471627E-2</v>
      </c>
      <c r="J942">
        <f t="shared" si="86"/>
        <v>3.3155529664570965E-3</v>
      </c>
      <c r="K942">
        <f t="shared" si="87"/>
        <v>1.70458672729886E-2</v>
      </c>
      <c r="L942">
        <f t="shared" si="88"/>
        <v>1.0171146399479669E-2</v>
      </c>
      <c r="M942">
        <f t="shared" si="89"/>
        <v>4.7576474554380408E-3</v>
      </c>
    </row>
    <row r="943" spans="1:13" x14ac:dyDescent="0.2">
      <c r="A943" s="6">
        <v>44561</v>
      </c>
      <c r="B943" s="7">
        <v>29.53</v>
      </c>
      <c r="C943" s="7">
        <v>137.72</v>
      </c>
      <c r="D943" s="7">
        <v>326.06</v>
      </c>
      <c r="E943" s="7">
        <v>166.72</v>
      </c>
      <c r="F943" s="7">
        <v>44.45</v>
      </c>
      <c r="G943" s="7">
        <v>328.82</v>
      </c>
      <c r="H943">
        <f t="shared" si="84"/>
        <v>6.1141494817259388E-3</v>
      </c>
      <c r="I943">
        <f t="shared" si="85"/>
        <v>-7.6673070010798497E-3</v>
      </c>
      <c r="J943">
        <f t="shared" si="86"/>
        <v>-1.9016946616293957E-2</v>
      </c>
      <c r="K943">
        <f t="shared" si="87"/>
        <v>-2.1832855830213306E-2</v>
      </c>
      <c r="L943">
        <f t="shared" si="88"/>
        <v>2.2063899706905029E-2</v>
      </c>
      <c r="M943">
        <f t="shared" si="89"/>
        <v>1.3348226600478044E-2</v>
      </c>
    </row>
    <row r="944" spans="1:13" x14ac:dyDescent="0.2">
      <c r="A944" s="6">
        <v>44560</v>
      </c>
      <c r="B944" s="7">
        <v>29.94</v>
      </c>
      <c r="C944" s="7">
        <v>136.08000000000001</v>
      </c>
      <c r="D944" s="7">
        <v>329.76</v>
      </c>
      <c r="E944" s="7">
        <v>168.64</v>
      </c>
      <c r="F944" s="7">
        <v>44.44</v>
      </c>
      <c r="G944" s="7">
        <v>315.52999999999997</v>
      </c>
      <c r="H944">
        <f t="shared" si="84"/>
        <v>1.3788683235651071E-2</v>
      </c>
      <c r="I944">
        <f t="shared" si="85"/>
        <v>-1.1979690382716601E-2</v>
      </c>
      <c r="J944">
        <f t="shared" si="86"/>
        <v>1.1283703630640574E-2</v>
      </c>
      <c r="K944">
        <f t="shared" si="87"/>
        <v>1.1450506787995285E-2</v>
      </c>
      <c r="L944">
        <f t="shared" si="88"/>
        <v>-2.249971884844877E-4</v>
      </c>
      <c r="M944">
        <f t="shared" si="89"/>
        <v>-4.1256723958727981E-2</v>
      </c>
    </row>
    <row r="945" spans="1:13" x14ac:dyDescent="0.2">
      <c r="A945" s="6">
        <v>44559</v>
      </c>
      <c r="B945" s="7">
        <v>30.26</v>
      </c>
      <c r="C945" s="7">
        <v>136.80000000000001</v>
      </c>
      <c r="D945" s="7">
        <v>330.42</v>
      </c>
      <c r="E945" s="7">
        <v>169.2</v>
      </c>
      <c r="F945" s="7">
        <v>44.77</v>
      </c>
      <c r="G945" s="7">
        <v>315.95999999999998</v>
      </c>
      <c r="H945">
        <f t="shared" si="84"/>
        <v>1.06313293687275E-2</v>
      </c>
      <c r="I945">
        <f t="shared" si="85"/>
        <v>5.2770571008438193E-3</v>
      </c>
      <c r="J945">
        <f t="shared" si="86"/>
        <v>1.9994553602962527E-3</v>
      </c>
      <c r="K945">
        <f t="shared" si="87"/>
        <v>3.3151818191254874E-3</v>
      </c>
      <c r="L945">
        <f t="shared" si="88"/>
        <v>7.3983074814451457E-3</v>
      </c>
      <c r="M945">
        <f t="shared" si="89"/>
        <v>1.3618586722152191E-3</v>
      </c>
    </row>
    <row r="946" spans="1:13" x14ac:dyDescent="0.2">
      <c r="A946" s="6">
        <v>44558</v>
      </c>
      <c r="B946" s="7">
        <v>30.89</v>
      </c>
      <c r="C946" s="7">
        <v>136.83000000000001</v>
      </c>
      <c r="D946" s="7">
        <v>322.18</v>
      </c>
      <c r="E946" s="7">
        <v>170.66</v>
      </c>
      <c r="F946" s="7">
        <v>45.63</v>
      </c>
      <c r="G946" s="7">
        <v>325.10000000000002</v>
      </c>
      <c r="H946">
        <f t="shared" si="84"/>
        <v>2.0605798570280446E-2</v>
      </c>
      <c r="I946">
        <f t="shared" si="85"/>
        <v>2.1927420326858636E-4</v>
      </c>
      <c r="J946">
        <f t="shared" si="86"/>
        <v>-2.5254176932625598E-2</v>
      </c>
      <c r="K946">
        <f t="shared" si="87"/>
        <v>8.5918259363159076E-3</v>
      </c>
      <c r="L946">
        <f t="shared" si="88"/>
        <v>1.9027122686437081E-2</v>
      </c>
      <c r="M946">
        <f t="shared" si="89"/>
        <v>2.8517204013641481E-2</v>
      </c>
    </row>
    <row r="947" spans="1:13" x14ac:dyDescent="0.2">
      <c r="A947" s="6">
        <v>44557</v>
      </c>
      <c r="B947" s="7">
        <v>29.58</v>
      </c>
      <c r="C947" s="7">
        <v>143.41</v>
      </c>
      <c r="D947" s="7">
        <v>334.47</v>
      </c>
      <c r="E947" s="7">
        <v>169.67</v>
      </c>
      <c r="F947" s="7">
        <v>45.18</v>
      </c>
      <c r="G947" s="7">
        <v>331.45</v>
      </c>
      <c r="H947">
        <f t="shared" si="84"/>
        <v>-4.333404964783668E-2</v>
      </c>
      <c r="I947">
        <f t="shared" si="85"/>
        <v>4.6968381349402032E-2</v>
      </c>
      <c r="J947">
        <f t="shared" si="86"/>
        <v>3.7436793877770352E-2</v>
      </c>
      <c r="K947">
        <f t="shared" si="87"/>
        <v>-5.8178990535907417E-3</v>
      </c>
      <c r="L947">
        <f t="shared" si="88"/>
        <v>-9.9108838994540188E-3</v>
      </c>
      <c r="M947">
        <f t="shared" si="89"/>
        <v>1.9344141377540841E-2</v>
      </c>
    </row>
    <row r="948" spans="1:13" x14ac:dyDescent="0.2">
      <c r="A948" s="6">
        <v>44553</v>
      </c>
      <c r="B948" s="7">
        <v>29.34</v>
      </c>
      <c r="C948" s="7">
        <v>144</v>
      </c>
      <c r="D948" s="7">
        <v>336.47</v>
      </c>
      <c r="E948" s="7">
        <v>171.07</v>
      </c>
      <c r="F948" s="7">
        <v>45.99</v>
      </c>
      <c r="G948" s="7">
        <v>336.22</v>
      </c>
      <c r="H948">
        <f t="shared" si="84"/>
        <v>-8.1466845678180265E-3</v>
      </c>
      <c r="I948">
        <f t="shared" si="85"/>
        <v>4.1056388348798215E-3</v>
      </c>
      <c r="J948">
        <f t="shared" si="86"/>
        <v>5.961802616761336E-3</v>
      </c>
      <c r="K948">
        <f t="shared" si="87"/>
        <v>8.2174554093523353E-3</v>
      </c>
      <c r="L948">
        <f t="shared" si="88"/>
        <v>1.7769470511975222E-2</v>
      </c>
      <c r="M948">
        <f t="shared" si="89"/>
        <v>1.4288738917512114E-2</v>
      </c>
    </row>
    <row r="949" spans="1:13" x14ac:dyDescent="0.2">
      <c r="A949" s="6">
        <v>44552</v>
      </c>
      <c r="B949" s="7">
        <v>29.02</v>
      </c>
      <c r="C949" s="7">
        <v>143.86000000000001</v>
      </c>
      <c r="D949" s="7">
        <v>334.29</v>
      </c>
      <c r="E949" s="7">
        <v>171.04</v>
      </c>
      <c r="F949" s="7">
        <v>46.12</v>
      </c>
      <c r="G949" s="7">
        <v>349.76</v>
      </c>
      <c r="H949">
        <f t="shared" si="84"/>
        <v>-1.096652525879387E-2</v>
      </c>
      <c r="I949">
        <f t="shared" si="85"/>
        <v>-9.7269513679039161E-4</v>
      </c>
      <c r="J949">
        <f t="shared" si="86"/>
        <v>-6.5001123372788279E-3</v>
      </c>
      <c r="K949">
        <f t="shared" si="87"/>
        <v>-1.7538218746540219E-4</v>
      </c>
      <c r="L949">
        <f t="shared" si="88"/>
        <v>2.8227138490257721E-3</v>
      </c>
      <c r="M949">
        <f t="shared" si="89"/>
        <v>3.9481497383261129E-2</v>
      </c>
    </row>
    <row r="950" spans="1:13" x14ac:dyDescent="0.2">
      <c r="A950" s="6">
        <v>44551</v>
      </c>
      <c r="B950" s="7">
        <v>27.67</v>
      </c>
      <c r="C950" s="7">
        <v>145.19999999999999</v>
      </c>
      <c r="D950" s="7">
        <v>342.25</v>
      </c>
      <c r="E950" s="7">
        <v>170.42</v>
      </c>
      <c r="F950" s="7">
        <v>45.48</v>
      </c>
      <c r="G950" s="7">
        <v>351.95</v>
      </c>
      <c r="H950">
        <f t="shared" si="84"/>
        <v>-4.7636453657207117E-2</v>
      </c>
      <c r="I950">
        <f t="shared" si="85"/>
        <v>9.2714979514854495E-3</v>
      </c>
      <c r="J950">
        <f t="shared" si="86"/>
        <v>2.353258444148601E-2</v>
      </c>
      <c r="K950">
        <f t="shared" si="87"/>
        <v>-3.6314688769251893E-3</v>
      </c>
      <c r="L950">
        <f t="shared" si="88"/>
        <v>-1.3974026518522977E-2</v>
      </c>
      <c r="M950">
        <f t="shared" si="89"/>
        <v>6.2419150659668672E-3</v>
      </c>
    </row>
    <row r="951" spans="1:13" x14ac:dyDescent="0.2">
      <c r="A951" s="6">
        <v>44550</v>
      </c>
      <c r="B951" s="7">
        <v>27.75</v>
      </c>
      <c r="C951" s="7">
        <v>145.65</v>
      </c>
      <c r="D951" s="7">
        <v>340.84</v>
      </c>
      <c r="E951" s="7">
        <v>167.08</v>
      </c>
      <c r="F951" s="7">
        <v>45.72</v>
      </c>
      <c r="G951" s="7">
        <v>349.48</v>
      </c>
      <c r="H951">
        <f t="shared" si="84"/>
        <v>2.8870463936089778E-3</v>
      </c>
      <c r="I951">
        <f t="shared" si="85"/>
        <v>3.0943810147480229E-3</v>
      </c>
      <c r="J951">
        <f t="shared" si="86"/>
        <v>-4.1283052088031688E-3</v>
      </c>
      <c r="K951">
        <f t="shared" si="87"/>
        <v>-1.979323877083513E-2</v>
      </c>
      <c r="L951">
        <f t="shared" si="88"/>
        <v>5.2631700442746909E-3</v>
      </c>
      <c r="M951">
        <f t="shared" si="89"/>
        <v>-7.0427846242466455E-3</v>
      </c>
    </row>
    <row r="952" spans="1:13" x14ac:dyDescent="0.2">
      <c r="A952" s="6">
        <v>44547</v>
      </c>
      <c r="B952" s="7">
        <v>28.33</v>
      </c>
      <c r="C952" s="7">
        <v>145.68</v>
      </c>
      <c r="D952" s="7">
        <v>344.1</v>
      </c>
      <c r="E952" s="7">
        <v>170.02</v>
      </c>
      <c r="F952" s="7">
        <v>45.85</v>
      </c>
      <c r="G952" s="7">
        <v>350.2</v>
      </c>
      <c r="H952">
        <f t="shared" si="84"/>
        <v>2.0685473649981675E-2</v>
      </c>
      <c r="I952">
        <f t="shared" si="85"/>
        <v>2.0595201390888345E-4</v>
      </c>
      <c r="J952">
        <f t="shared" si="86"/>
        <v>9.5191538436797205E-3</v>
      </c>
      <c r="K952">
        <f t="shared" si="87"/>
        <v>1.7443337560238147E-2</v>
      </c>
      <c r="L952">
        <f t="shared" si="88"/>
        <v>2.8393597758639686E-3</v>
      </c>
      <c r="M952">
        <f t="shared" si="89"/>
        <v>2.0580844218575705E-3</v>
      </c>
    </row>
    <row r="953" spans="1:13" x14ac:dyDescent="0.2">
      <c r="A953" s="6">
        <v>44546</v>
      </c>
      <c r="B953" s="7">
        <v>30.4</v>
      </c>
      <c r="C953" s="7">
        <v>146.88999999999999</v>
      </c>
      <c r="D953" s="7">
        <v>344.06</v>
      </c>
      <c r="E953" s="7">
        <v>168.87</v>
      </c>
      <c r="F953" s="7">
        <v>45.93</v>
      </c>
      <c r="G953" s="7">
        <v>355.76</v>
      </c>
      <c r="H953">
        <f t="shared" si="84"/>
        <v>7.0521294569750884E-2</v>
      </c>
      <c r="I953">
        <f t="shared" si="85"/>
        <v>8.2715719239707889E-3</v>
      </c>
      <c r="J953">
        <f t="shared" si="86"/>
        <v>-1.1625203454154684E-4</v>
      </c>
      <c r="K953">
        <f t="shared" si="87"/>
        <v>-6.7868890451678789E-3</v>
      </c>
      <c r="L953">
        <f t="shared" si="88"/>
        <v>1.7432996352281106E-3</v>
      </c>
      <c r="M953">
        <f t="shared" si="89"/>
        <v>1.5751926350689636E-2</v>
      </c>
    </row>
    <row r="954" spans="1:13" x14ac:dyDescent="0.2">
      <c r="A954" s="6">
        <v>44545</v>
      </c>
      <c r="B954" s="7">
        <v>28.28</v>
      </c>
      <c r="C954" s="7">
        <v>145.91</v>
      </c>
      <c r="D954" s="7">
        <v>333.19</v>
      </c>
      <c r="E954" s="7">
        <v>173.32</v>
      </c>
      <c r="F954" s="7">
        <v>45.5</v>
      </c>
      <c r="G954" s="7">
        <v>366.74</v>
      </c>
      <c r="H954">
        <f t="shared" si="84"/>
        <v>-7.2287767383803936E-2</v>
      </c>
      <c r="I954">
        <f t="shared" si="85"/>
        <v>-6.6940140673923737E-3</v>
      </c>
      <c r="J954">
        <f t="shared" si="86"/>
        <v>-3.2103162931376682E-2</v>
      </c>
      <c r="K954">
        <f t="shared" si="87"/>
        <v>2.6010408727663688E-2</v>
      </c>
      <c r="L954">
        <f t="shared" si="88"/>
        <v>-9.4061723807973233E-3</v>
      </c>
      <c r="M954">
        <f t="shared" si="89"/>
        <v>3.0396803918577464E-2</v>
      </c>
    </row>
    <row r="955" spans="1:13" x14ac:dyDescent="0.2">
      <c r="A955" s="6">
        <v>44544</v>
      </c>
      <c r="B955" s="7">
        <v>28.11</v>
      </c>
      <c r="C955" s="7">
        <v>145.41</v>
      </c>
      <c r="D955" s="7">
        <v>328.43</v>
      </c>
      <c r="E955" s="7">
        <v>169.09</v>
      </c>
      <c r="F955" s="7">
        <v>45.63</v>
      </c>
      <c r="G955" s="7">
        <v>368.07</v>
      </c>
      <c r="H955">
        <f t="shared" si="84"/>
        <v>-6.0294561099315646E-3</v>
      </c>
      <c r="I955">
        <f t="shared" si="85"/>
        <v>-3.4326547505367346E-3</v>
      </c>
      <c r="J955">
        <f t="shared" si="86"/>
        <v>-1.438917242183977E-2</v>
      </c>
      <c r="K955">
        <f t="shared" si="87"/>
        <v>-2.4708479321370862E-2</v>
      </c>
      <c r="L955">
        <f t="shared" si="88"/>
        <v>2.8530689824064807E-3</v>
      </c>
      <c r="M955">
        <f t="shared" si="89"/>
        <v>3.6199873501827325E-3</v>
      </c>
    </row>
    <row r="956" spans="1:13" x14ac:dyDescent="0.2">
      <c r="A956" s="6">
        <v>44543</v>
      </c>
      <c r="B956" s="7">
        <v>30.14</v>
      </c>
      <c r="C956" s="7">
        <v>142.49</v>
      </c>
      <c r="D956" s="7">
        <v>332.15</v>
      </c>
      <c r="E956" s="7">
        <v>169.57</v>
      </c>
      <c r="F956" s="7">
        <v>45.02</v>
      </c>
      <c r="G956" s="7">
        <v>373.14</v>
      </c>
      <c r="H956">
        <f t="shared" si="84"/>
        <v>6.9727808279908848E-2</v>
      </c>
      <c r="I956">
        <f t="shared" si="85"/>
        <v>-2.0285516717696815E-2</v>
      </c>
      <c r="J956">
        <f t="shared" si="86"/>
        <v>1.126294869557337E-2</v>
      </c>
      <c r="K956">
        <f t="shared" si="87"/>
        <v>2.8347033686982235E-3</v>
      </c>
      <c r="L956">
        <f t="shared" si="88"/>
        <v>-1.3458559460724927E-2</v>
      </c>
      <c r="M956">
        <f t="shared" si="89"/>
        <v>1.3680546872651626E-2</v>
      </c>
    </row>
    <row r="957" spans="1:13" x14ac:dyDescent="0.2">
      <c r="A957" s="6">
        <v>44540</v>
      </c>
      <c r="B957" s="7">
        <v>30.43</v>
      </c>
      <c r="C957" s="7">
        <v>140.63999999999999</v>
      </c>
      <c r="D957" s="7">
        <v>323.45999999999998</v>
      </c>
      <c r="E957" s="7">
        <v>172.21</v>
      </c>
      <c r="F957" s="7">
        <v>45.86</v>
      </c>
      <c r="G957" s="7">
        <v>369.34</v>
      </c>
      <c r="H957">
        <f t="shared" si="84"/>
        <v>9.5757707105302518E-3</v>
      </c>
      <c r="I957">
        <f t="shared" si="85"/>
        <v>-1.3068387870830719E-2</v>
      </c>
      <c r="J957">
        <f t="shared" si="86"/>
        <v>-2.6511215419617786E-2</v>
      </c>
      <c r="K957">
        <f t="shared" si="87"/>
        <v>1.544884139777216E-2</v>
      </c>
      <c r="L957">
        <f t="shared" si="88"/>
        <v>1.8486441951172224E-2</v>
      </c>
      <c r="M957">
        <f t="shared" si="89"/>
        <v>-1.0236055326126361E-2</v>
      </c>
    </row>
    <row r="958" spans="1:13" x14ac:dyDescent="0.2">
      <c r="A958" s="6">
        <v>44539</v>
      </c>
      <c r="B958" s="7">
        <v>31.76</v>
      </c>
      <c r="C958" s="7">
        <v>140.75</v>
      </c>
      <c r="D958" s="7">
        <v>331.74</v>
      </c>
      <c r="E958" s="7">
        <v>174.17</v>
      </c>
      <c r="F958" s="7">
        <v>45.87</v>
      </c>
      <c r="G958" s="7">
        <v>375.1</v>
      </c>
      <c r="H958">
        <f t="shared" si="84"/>
        <v>4.2778672470055373E-2</v>
      </c>
      <c r="I958">
        <f t="shared" si="85"/>
        <v>7.8183308293299566E-4</v>
      </c>
      <c r="J958">
        <f t="shared" si="86"/>
        <v>2.5276070886264431E-2</v>
      </c>
      <c r="K958">
        <f t="shared" si="87"/>
        <v>1.1317171426885382E-2</v>
      </c>
      <c r="L958">
        <f t="shared" si="88"/>
        <v>2.1803117932227167E-4</v>
      </c>
      <c r="M958">
        <f t="shared" si="89"/>
        <v>1.5475028070115214E-2</v>
      </c>
    </row>
    <row r="959" spans="1:13" x14ac:dyDescent="0.2">
      <c r="A959" s="6">
        <v>44538</v>
      </c>
      <c r="B959" s="7">
        <v>32.36</v>
      </c>
      <c r="C959" s="7">
        <v>143.46</v>
      </c>
      <c r="D959" s="7">
        <v>332.85</v>
      </c>
      <c r="E959" s="7">
        <v>176.16</v>
      </c>
      <c r="F959" s="7">
        <v>45.39</v>
      </c>
      <c r="G959" s="7">
        <v>370.51</v>
      </c>
      <c r="H959">
        <f t="shared" si="84"/>
        <v>1.8715455811356002E-2</v>
      </c>
      <c r="I959">
        <f t="shared" si="85"/>
        <v>1.907098367848864E-2</v>
      </c>
      <c r="J959">
        <f t="shared" si="86"/>
        <v>3.3404084688160806E-3</v>
      </c>
      <c r="K959">
        <f t="shared" si="87"/>
        <v>1.136083923067626E-2</v>
      </c>
      <c r="L959">
        <f t="shared" si="88"/>
        <v>-1.0519492140706266E-2</v>
      </c>
      <c r="M959">
        <f t="shared" si="89"/>
        <v>-1.2312222162632223E-2</v>
      </c>
    </row>
    <row r="960" spans="1:13" x14ac:dyDescent="0.2">
      <c r="A960" s="6">
        <v>44537</v>
      </c>
      <c r="B960" s="7">
        <v>29.98</v>
      </c>
      <c r="C960" s="7">
        <v>145.44</v>
      </c>
      <c r="D960" s="7">
        <v>339.57</v>
      </c>
      <c r="E960" s="7">
        <v>176.16</v>
      </c>
      <c r="F960" s="7">
        <v>45.24</v>
      </c>
      <c r="G960" s="7">
        <v>371.33</v>
      </c>
      <c r="H960">
        <f t="shared" si="84"/>
        <v>-7.6392599515839266E-2</v>
      </c>
      <c r="I960">
        <f t="shared" si="85"/>
        <v>1.3707379730880286E-2</v>
      </c>
      <c r="J960">
        <f t="shared" si="86"/>
        <v>1.9988173265725821E-2</v>
      </c>
      <c r="K960">
        <f t="shared" si="87"/>
        <v>0</v>
      </c>
      <c r="L960">
        <f t="shared" si="88"/>
        <v>-3.3101652204544922E-3</v>
      </c>
      <c r="M960">
        <f t="shared" si="89"/>
        <v>2.2107201929373816E-3</v>
      </c>
    </row>
    <row r="961" spans="1:13" x14ac:dyDescent="0.2">
      <c r="A961" s="6">
        <v>44536</v>
      </c>
      <c r="B961" s="7">
        <v>30.63</v>
      </c>
      <c r="C961" s="7">
        <v>142.91999999999999</v>
      </c>
      <c r="D961" s="7">
        <v>331.7</v>
      </c>
      <c r="E961" s="7">
        <v>171.37</v>
      </c>
      <c r="F961" s="7">
        <v>45.27</v>
      </c>
      <c r="G961" s="7">
        <v>367.15</v>
      </c>
      <c r="H961">
        <f t="shared" si="84"/>
        <v>2.1449428170232231E-2</v>
      </c>
      <c r="I961">
        <f t="shared" si="85"/>
        <v>-1.7478597273959673E-2</v>
      </c>
      <c r="J961">
        <f t="shared" si="86"/>
        <v>-2.3449165359431732E-2</v>
      </c>
      <c r="K961">
        <f t="shared" si="87"/>
        <v>-2.7567711301611942E-2</v>
      </c>
      <c r="L961">
        <f t="shared" si="88"/>
        <v>6.6291019994744451E-4</v>
      </c>
      <c r="M961">
        <f t="shared" si="89"/>
        <v>-1.1320671220527464E-2</v>
      </c>
    </row>
    <row r="962" spans="1:13" x14ac:dyDescent="0.2">
      <c r="A962" s="6">
        <v>44533</v>
      </c>
      <c r="B962" s="7">
        <v>32.06</v>
      </c>
      <c r="C962" s="7">
        <v>144.83000000000001</v>
      </c>
      <c r="D962" s="7">
        <v>332.44</v>
      </c>
      <c r="E962" s="7">
        <v>169.49</v>
      </c>
      <c r="F962" s="7">
        <v>44.63</v>
      </c>
      <c r="G962" s="7">
        <v>365.23</v>
      </c>
      <c r="H962">
        <f t="shared" si="84"/>
        <v>4.5629226336723221E-2</v>
      </c>
      <c r="I962">
        <f t="shared" si="85"/>
        <v>1.3275607657556121E-2</v>
      </c>
      <c r="J962">
        <f t="shared" si="86"/>
        <v>2.2284467318189104E-3</v>
      </c>
      <c r="K962">
        <f t="shared" si="87"/>
        <v>-1.1031033642794726E-2</v>
      </c>
      <c r="L962">
        <f t="shared" si="88"/>
        <v>-1.4238282806688677E-2</v>
      </c>
      <c r="M962">
        <f t="shared" si="89"/>
        <v>-5.2431917817733226E-3</v>
      </c>
    </row>
    <row r="963" spans="1:13" x14ac:dyDescent="0.2">
      <c r="A963" s="6">
        <v>44531</v>
      </c>
      <c r="B963" s="7">
        <v>31.37</v>
      </c>
      <c r="C963" s="7">
        <v>146.99</v>
      </c>
      <c r="D963" s="7">
        <v>327.73</v>
      </c>
      <c r="E963" s="7">
        <v>171.87</v>
      </c>
      <c r="F963" s="7">
        <v>44.22</v>
      </c>
      <c r="G963" s="7">
        <v>358.88</v>
      </c>
      <c r="H963">
        <f t="shared" si="84"/>
        <v>-2.1757124978820205E-2</v>
      </c>
      <c r="I963">
        <f t="shared" si="85"/>
        <v>1.4803916441131409E-2</v>
      </c>
      <c r="J963">
        <f t="shared" si="86"/>
        <v>-1.4269294023460324E-2</v>
      </c>
      <c r="K963">
        <f t="shared" si="87"/>
        <v>1.394444905863316E-2</v>
      </c>
      <c r="L963">
        <f t="shared" si="88"/>
        <v>-9.2291032118783662E-3</v>
      </c>
      <c r="M963">
        <f t="shared" si="89"/>
        <v>-1.7539221343947954E-2</v>
      </c>
    </row>
    <row r="964" spans="1:13" x14ac:dyDescent="0.2">
      <c r="A964" s="6">
        <v>44531</v>
      </c>
      <c r="B964" s="7">
        <v>32.61</v>
      </c>
      <c r="C964" s="7">
        <v>146.63</v>
      </c>
      <c r="D964" s="7">
        <v>327.8</v>
      </c>
      <c r="E964" s="7">
        <v>172.19</v>
      </c>
      <c r="F964" s="7">
        <v>44.32</v>
      </c>
      <c r="G964" s="7">
        <v>357.59</v>
      </c>
      <c r="H964">
        <f t="shared" ref="H964:H1027" si="90">LN(B964/B963)</f>
        <v>3.8766967598641025E-2</v>
      </c>
      <c r="I964">
        <f t="shared" ref="I964:I1027" si="91">LN(C964/C963)</f>
        <v>-2.4521502649085675E-3</v>
      </c>
      <c r="J964">
        <f t="shared" ref="J964:J1027" si="92">LN(D964/D963)</f>
        <v>2.1356764836398821E-4</v>
      </c>
      <c r="K964">
        <f t="shared" ref="K964:K1027" si="93">LN(E964/E963)</f>
        <v>1.8601412094984217E-3</v>
      </c>
      <c r="L964">
        <f t="shared" ref="L964:L1027" si="94">LN(F964/F963)</f>
        <v>2.2588670097282333E-3</v>
      </c>
      <c r="M964">
        <f t="shared" ref="M964:M1027" si="95">LN(G964/G963)</f>
        <v>-3.6009920693613976E-3</v>
      </c>
    </row>
    <row r="965" spans="1:13" x14ac:dyDescent="0.2">
      <c r="A965" s="6">
        <v>44530</v>
      </c>
      <c r="B965" s="7">
        <v>33.31</v>
      </c>
      <c r="C965" s="7">
        <v>147.16999999999999</v>
      </c>
      <c r="D965" s="7">
        <v>328.53</v>
      </c>
      <c r="E965" s="7">
        <v>175.35</v>
      </c>
      <c r="F965" s="7">
        <v>44.26</v>
      </c>
      <c r="G965" s="7">
        <v>352.92</v>
      </c>
      <c r="H965">
        <f t="shared" si="90"/>
        <v>2.1238662404360505E-2</v>
      </c>
      <c r="I965">
        <f t="shared" si="91"/>
        <v>3.675974187033641E-3</v>
      </c>
      <c r="J965">
        <f t="shared" si="92"/>
        <v>2.2244916460480695E-3</v>
      </c>
      <c r="K965">
        <f t="shared" si="93"/>
        <v>1.8185458288092701E-2</v>
      </c>
      <c r="L965">
        <f t="shared" si="94"/>
        <v>-1.354707816124789E-3</v>
      </c>
      <c r="M965">
        <f t="shared" si="95"/>
        <v>-1.314567634863277E-2</v>
      </c>
    </row>
    <row r="966" spans="1:13" x14ac:dyDescent="0.2">
      <c r="A966" s="6">
        <v>44529</v>
      </c>
      <c r="B966" s="7">
        <v>31.44</v>
      </c>
      <c r="C966" s="7">
        <v>146.26</v>
      </c>
      <c r="D966" s="7">
        <v>320.83</v>
      </c>
      <c r="E966" s="7">
        <v>178.08</v>
      </c>
      <c r="F966" s="7">
        <v>44.13</v>
      </c>
      <c r="G966" s="7">
        <v>351.95</v>
      </c>
      <c r="H966">
        <f t="shared" si="90"/>
        <v>-5.7776684644582577E-2</v>
      </c>
      <c r="I966">
        <f t="shared" si="91"/>
        <v>-6.2025213332163823E-3</v>
      </c>
      <c r="J966">
        <f t="shared" si="92"/>
        <v>-2.3716770126309794E-2</v>
      </c>
      <c r="K966">
        <f t="shared" si="93"/>
        <v>1.5448910941047776E-2</v>
      </c>
      <c r="L966">
        <f t="shared" si="94"/>
        <v>-2.9415113414476965E-3</v>
      </c>
      <c r="M966">
        <f t="shared" si="95"/>
        <v>-2.7522822997634137E-3</v>
      </c>
    </row>
    <row r="967" spans="1:13" x14ac:dyDescent="0.2">
      <c r="A967" s="6">
        <v>44526</v>
      </c>
      <c r="B967" s="7">
        <v>32.61</v>
      </c>
      <c r="C967" s="7">
        <v>142.16999999999999</v>
      </c>
      <c r="D967" s="7">
        <v>315.92</v>
      </c>
      <c r="E967" s="7">
        <v>175.23</v>
      </c>
      <c r="F967" s="7">
        <v>43.99</v>
      </c>
      <c r="G967" s="7">
        <v>350.67</v>
      </c>
      <c r="H967">
        <f t="shared" si="90"/>
        <v>3.6538022240221991E-2</v>
      </c>
      <c r="I967">
        <f t="shared" si="91"/>
        <v>-2.8362335195198516E-2</v>
      </c>
      <c r="J967">
        <f t="shared" si="92"/>
        <v>-1.5422370851073479E-2</v>
      </c>
      <c r="K967">
        <f t="shared" si="93"/>
        <v>-1.6133490806907163E-2</v>
      </c>
      <c r="L967">
        <f t="shared" si="94"/>
        <v>-3.1774879208274786E-3</v>
      </c>
      <c r="M967">
        <f t="shared" si="95"/>
        <v>-3.6435097663518731E-3</v>
      </c>
    </row>
    <row r="968" spans="1:13" x14ac:dyDescent="0.2">
      <c r="A968" s="6">
        <v>44524</v>
      </c>
      <c r="B968" s="7">
        <v>31.68</v>
      </c>
      <c r="C968" s="7">
        <v>141.03</v>
      </c>
      <c r="D968" s="7">
        <v>304.95999999999998</v>
      </c>
      <c r="E968" s="7">
        <v>179.02</v>
      </c>
      <c r="F968" s="7">
        <v>45.44</v>
      </c>
      <c r="G968" s="7">
        <v>361.11</v>
      </c>
      <c r="H968">
        <f t="shared" si="90"/>
        <v>-2.8933422855002621E-2</v>
      </c>
      <c r="I968">
        <f t="shared" si="91"/>
        <v>-8.0508909434576573E-3</v>
      </c>
      <c r="J968">
        <f t="shared" si="92"/>
        <v>-3.5308396512556774E-2</v>
      </c>
      <c r="K968">
        <f t="shared" si="93"/>
        <v>2.1398134722465219E-2</v>
      </c>
      <c r="L968">
        <f t="shared" si="94"/>
        <v>3.2430439052267335E-2</v>
      </c>
      <c r="M968">
        <f t="shared" si="95"/>
        <v>2.9337010771964593E-2</v>
      </c>
    </row>
    <row r="969" spans="1:13" x14ac:dyDescent="0.2">
      <c r="A969" s="6">
        <v>44523</v>
      </c>
      <c r="B969" s="7">
        <v>31.89</v>
      </c>
      <c r="C969" s="7">
        <v>141.99</v>
      </c>
      <c r="D969" s="7">
        <v>308.49</v>
      </c>
      <c r="E969" s="7">
        <v>179</v>
      </c>
      <c r="F969" s="7">
        <v>46.21</v>
      </c>
      <c r="G969" s="7">
        <v>368.59</v>
      </c>
      <c r="H969">
        <f t="shared" si="90"/>
        <v>6.6069140757411124E-3</v>
      </c>
      <c r="I969">
        <f t="shared" si="91"/>
        <v>6.7839988821175798E-3</v>
      </c>
      <c r="J969">
        <f t="shared" si="92"/>
        <v>1.1508807443371728E-2</v>
      </c>
      <c r="K969">
        <f t="shared" si="93"/>
        <v>-1.1172560203796732E-4</v>
      </c>
      <c r="L969">
        <f t="shared" si="94"/>
        <v>1.6803450469279089E-2</v>
      </c>
      <c r="M969">
        <f t="shared" si="95"/>
        <v>2.0502294128083576E-2</v>
      </c>
    </row>
    <row r="970" spans="1:13" x14ac:dyDescent="0.2">
      <c r="A970" s="6">
        <v>44522</v>
      </c>
      <c r="B970" s="7">
        <v>32.92</v>
      </c>
      <c r="C970" s="7">
        <v>140.09</v>
      </c>
      <c r="D970" s="7">
        <v>308.7</v>
      </c>
      <c r="E970" s="7">
        <v>178.63</v>
      </c>
      <c r="F970" s="7">
        <v>45.95</v>
      </c>
      <c r="G970" s="7">
        <v>363.52</v>
      </c>
      <c r="H970">
        <f t="shared" si="90"/>
        <v>3.1787894786902873E-2</v>
      </c>
      <c r="I970">
        <f t="shared" si="91"/>
        <v>-1.34715593782438E-2</v>
      </c>
      <c r="J970">
        <f t="shared" si="92"/>
        <v>6.8050359890461378E-4</v>
      </c>
      <c r="K970">
        <f t="shared" si="93"/>
        <v>-2.0691783799618693E-3</v>
      </c>
      <c r="L970">
        <f t="shared" si="94"/>
        <v>-5.642376080478872E-3</v>
      </c>
      <c r="M970">
        <f t="shared" si="95"/>
        <v>-1.3850599095104828E-2</v>
      </c>
    </row>
    <row r="971" spans="1:13" x14ac:dyDescent="0.2">
      <c r="A971" s="6">
        <v>44519</v>
      </c>
      <c r="B971" s="7">
        <v>31.61</v>
      </c>
      <c r="C971" s="7">
        <v>140.93</v>
      </c>
      <c r="D971" s="7">
        <v>322.47000000000003</v>
      </c>
      <c r="E971" s="7">
        <v>183.83</v>
      </c>
      <c r="F971" s="7">
        <v>45.52</v>
      </c>
      <c r="G971" s="7">
        <v>366.27</v>
      </c>
      <c r="H971">
        <f t="shared" si="90"/>
        <v>-4.0606849581342766E-2</v>
      </c>
      <c r="I971">
        <f t="shared" si="91"/>
        <v>5.9782399953972462E-3</v>
      </c>
      <c r="J971">
        <f t="shared" si="92"/>
        <v>4.3640177144968421E-2</v>
      </c>
      <c r="K971">
        <f t="shared" si="93"/>
        <v>2.8694790033987391E-2</v>
      </c>
      <c r="L971">
        <f t="shared" si="94"/>
        <v>-9.4020589836205145E-3</v>
      </c>
      <c r="M971">
        <f t="shared" si="95"/>
        <v>7.5364502561420296E-3</v>
      </c>
    </row>
    <row r="972" spans="1:13" x14ac:dyDescent="0.2">
      <c r="A972" s="6">
        <v>44518</v>
      </c>
      <c r="B972" s="7">
        <v>29.2</v>
      </c>
      <c r="C972" s="7">
        <v>144.53</v>
      </c>
      <c r="D972" s="7">
        <v>335.96</v>
      </c>
      <c r="E972" s="7">
        <v>184.8</v>
      </c>
      <c r="F972" s="7">
        <v>44.71</v>
      </c>
      <c r="G972" s="7">
        <v>375.45</v>
      </c>
      <c r="H972">
        <f t="shared" si="90"/>
        <v>-7.9304816953290322E-2</v>
      </c>
      <c r="I972">
        <f t="shared" si="91"/>
        <v>2.5223785257330943E-2</v>
      </c>
      <c r="J972">
        <f t="shared" si="92"/>
        <v>4.0981996604344421E-2</v>
      </c>
      <c r="K972">
        <f t="shared" si="93"/>
        <v>5.2627417128034547E-3</v>
      </c>
      <c r="L972">
        <f t="shared" si="94"/>
        <v>-1.7954599572186213E-2</v>
      </c>
      <c r="M972">
        <f t="shared" si="95"/>
        <v>2.4754540197019091E-2</v>
      </c>
    </row>
    <row r="973" spans="1:13" x14ac:dyDescent="0.2">
      <c r="A973" s="6">
        <v>44516</v>
      </c>
      <c r="B973" s="7">
        <v>29.96</v>
      </c>
      <c r="C973" s="7">
        <v>145.12</v>
      </c>
      <c r="D973" s="7">
        <v>338.97</v>
      </c>
      <c r="E973" s="7">
        <v>177.04</v>
      </c>
      <c r="F973" s="7">
        <v>43.91</v>
      </c>
      <c r="G973" s="7">
        <v>371.7</v>
      </c>
      <c r="H973">
        <f t="shared" si="90"/>
        <v>2.5694449374782723E-2</v>
      </c>
      <c r="I973">
        <f t="shared" si="91"/>
        <v>4.0738879060758064E-3</v>
      </c>
      <c r="J973">
        <f t="shared" si="92"/>
        <v>8.9195026318383708E-3</v>
      </c>
      <c r="K973">
        <f t="shared" si="93"/>
        <v>-4.2898463464789718E-2</v>
      </c>
      <c r="L973">
        <f t="shared" si="94"/>
        <v>-1.805510567226333E-2</v>
      </c>
      <c r="M973">
        <f t="shared" si="95"/>
        <v>-1.0038229242686408E-2</v>
      </c>
    </row>
    <row r="974" spans="1:13" x14ac:dyDescent="0.2">
      <c r="A974" s="6">
        <v>44515</v>
      </c>
      <c r="B974" s="7">
        <v>30.33</v>
      </c>
      <c r="C974" s="7">
        <v>144.78</v>
      </c>
      <c r="D974" s="7">
        <v>335.18</v>
      </c>
      <c r="E974" s="7">
        <v>177.28</v>
      </c>
      <c r="F974" s="7">
        <v>43.31</v>
      </c>
      <c r="G974" s="7">
        <v>376.15</v>
      </c>
      <c r="H974">
        <f t="shared" si="90"/>
        <v>1.2274163051470827E-2</v>
      </c>
      <c r="I974">
        <f t="shared" si="91"/>
        <v>-2.3456375018311723E-3</v>
      </c>
      <c r="J974">
        <f t="shared" si="92"/>
        <v>-1.1243906932537302E-2</v>
      </c>
      <c r="K974">
        <f t="shared" si="93"/>
        <v>1.3547078161248438E-3</v>
      </c>
      <c r="L974">
        <f t="shared" si="94"/>
        <v>-1.3758529347090662E-2</v>
      </c>
      <c r="M974">
        <f t="shared" si="95"/>
        <v>1.1900922703024132E-2</v>
      </c>
    </row>
    <row r="975" spans="1:13" x14ac:dyDescent="0.2">
      <c r="A975" s="6">
        <v>44512</v>
      </c>
      <c r="B975" s="7">
        <v>30.33</v>
      </c>
      <c r="C975" s="7">
        <v>145.30000000000001</v>
      </c>
      <c r="D975" s="7">
        <v>338.92</v>
      </c>
      <c r="E975" s="7">
        <v>176.26</v>
      </c>
      <c r="F975" s="7">
        <v>43.75</v>
      </c>
      <c r="G975" s="7">
        <v>375.72</v>
      </c>
      <c r="H975">
        <f t="shared" si="90"/>
        <v>0</v>
      </c>
      <c r="I975">
        <f t="shared" si="91"/>
        <v>3.5852217112420184E-3</v>
      </c>
      <c r="J975">
        <f t="shared" si="92"/>
        <v>1.1096390373535932E-2</v>
      </c>
      <c r="K975">
        <f t="shared" si="93"/>
        <v>-5.7702258874046579E-3</v>
      </c>
      <c r="L975">
        <f t="shared" si="94"/>
        <v>1.0108057577087987E-2</v>
      </c>
      <c r="M975">
        <f t="shared" si="95"/>
        <v>-1.1438148799157706E-3</v>
      </c>
    </row>
    <row r="976" spans="1:13" x14ac:dyDescent="0.2">
      <c r="A976" s="6">
        <v>44511</v>
      </c>
      <c r="B976" s="7">
        <v>29.4</v>
      </c>
      <c r="C976" s="7">
        <v>147.91</v>
      </c>
      <c r="D976" s="7">
        <v>343.18</v>
      </c>
      <c r="E976" s="7">
        <v>173.63</v>
      </c>
      <c r="F976" s="7">
        <v>43.89</v>
      </c>
      <c r="G976" s="7">
        <v>368.59</v>
      </c>
      <c r="H976">
        <f t="shared" si="90"/>
        <v>-3.1142647355853835E-2</v>
      </c>
      <c r="I976">
        <f t="shared" si="91"/>
        <v>1.7803410107041284E-2</v>
      </c>
      <c r="J976">
        <f t="shared" si="92"/>
        <v>1.2490999527211598E-2</v>
      </c>
      <c r="K976">
        <f t="shared" si="93"/>
        <v>-1.5033579315467897E-2</v>
      </c>
      <c r="L976">
        <f t="shared" si="94"/>
        <v>3.1948908965192886E-3</v>
      </c>
      <c r="M976">
        <f t="shared" si="95"/>
        <v>-1.9159269938478024E-2</v>
      </c>
    </row>
    <row r="977" spans="1:13" x14ac:dyDescent="0.2">
      <c r="A977" s="6">
        <v>44510</v>
      </c>
      <c r="B977" s="7">
        <v>30.59</v>
      </c>
      <c r="C977" s="7">
        <v>148.81</v>
      </c>
      <c r="D977" s="7">
        <v>336.61</v>
      </c>
      <c r="E977" s="7">
        <v>174.1</v>
      </c>
      <c r="F977" s="7">
        <v>43.42</v>
      </c>
      <c r="G977" s="7">
        <v>368.55</v>
      </c>
      <c r="H977">
        <f t="shared" si="90"/>
        <v>3.9678483818176236E-2</v>
      </c>
      <c r="I977">
        <f t="shared" si="91"/>
        <v>6.0663437586801908E-3</v>
      </c>
      <c r="J977">
        <f t="shared" si="92"/>
        <v>-1.9330100688830253E-2</v>
      </c>
      <c r="K977">
        <f t="shared" si="93"/>
        <v>2.7032484180968745E-3</v>
      </c>
      <c r="L977">
        <f t="shared" si="94"/>
        <v>-1.0766339249996771E-2</v>
      </c>
      <c r="M977">
        <f t="shared" si="95"/>
        <v>-1.0852755253874333E-4</v>
      </c>
    </row>
    <row r="978" spans="1:13" x14ac:dyDescent="0.2">
      <c r="A978" s="6">
        <v>44508</v>
      </c>
      <c r="B978" s="7">
        <v>29.69</v>
      </c>
      <c r="C978" s="7">
        <v>146.86000000000001</v>
      </c>
      <c r="D978" s="7">
        <v>340.86</v>
      </c>
      <c r="E978" s="7">
        <v>174.45</v>
      </c>
      <c r="F978" s="7">
        <v>43.3</v>
      </c>
      <c r="G978" s="7">
        <v>361.91</v>
      </c>
      <c r="H978">
        <f t="shared" si="90"/>
        <v>-2.9862869387143571E-2</v>
      </c>
      <c r="I978">
        <f t="shared" si="91"/>
        <v>-1.319057241849439E-2</v>
      </c>
      <c r="J978">
        <f t="shared" si="92"/>
        <v>1.2546845628445841E-2</v>
      </c>
      <c r="K978">
        <f t="shared" si="93"/>
        <v>2.0083208586396833E-3</v>
      </c>
      <c r="L978">
        <f t="shared" si="94"/>
        <v>-2.7675294417017294E-3</v>
      </c>
      <c r="M978">
        <f t="shared" si="95"/>
        <v>-1.8180825504830578E-2</v>
      </c>
    </row>
    <row r="979" spans="1:13" x14ac:dyDescent="0.2">
      <c r="A979" s="6">
        <v>44505</v>
      </c>
      <c r="B979" s="7">
        <v>29.74</v>
      </c>
      <c r="C979" s="7">
        <v>147.44</v>
      </c>
      <c r="D979" s="7">
        <v>345.43</v>
      </c>
      <c r="E979" s="7">
        <v>175.95</v>
      </c>
      <c r="F979" s="7">
        <v>44.41</v>
      </c>
      <c r="G979" s="7">
        <v>360.59</v>
      </c>
      <c r="H979">
        <f t="shared" si="90"/>
        <v>1.6826522563404738E-3</v>
      </c>
      <c r="I979">
        <f t="shared" si="91"/>
        <v>3.9415613381033106E-3</v>
      </c>
      <c r="J979">
        <f t="shared" si="92"/>
        <v>1.3318181963079294E-2</v>
      </c>
      <c r="K979">
        <f t="shared" si="93"/>
        <v>8.5616961348109807E-3</v>
      </c>
      <c r="L979">
        <f t="shared" si="94"/>
        <v>2.5312034295566659E-2</v>
      </c>
      <c r="M979">
        <f t="shared" si="95"/>
        <v>-3.6539833042908212E-3</v>
      </c>
    </row>
    <row r="980" spans="1:13" x14ac:dyDescent="0.2">
      <c r="A980" s="6">
        <v>44504</v>
      </c>
      <c r="B980" s="7">
        <v>26.54</v>
      </c>
      <c r="C980" s="7">
        <v>147.66</v>
      </c>
      <c r="D980" s="7">
        <v>338.8</v>
      </c>
      <c r="E980" s="7">
        <v>173.85</v>
      </c>
      <c r="F980" s="7">
        <v>45.04</v>
      </c>
      <c r="G980" s="7">
        <v>366.18</v>
      </c>
      <c r="H980">
        <f t="shared" si="90"/>
        <v>-0.11383991212794758</v>
      </c>
      <c r="I980">
        <f t="shared" si="91"/>
        <v>1.4910202694517426E-3</v>
      </c>
      <c r="J980">
        <f t="shared" si="92"/>
        <v>-1.9380054982270498E-2</v>
      </c>
      <c r="K980">
        <f t="shared" si="93"/>
        <v>-1.2007005313723774E-2</v>
      </c>
      <c r="L980">
        <f t="shared" si="94"/>
        <v>1.4086314527424039E-2</v>
      </c>
      <c r="M980">
        <f t="shared" si="95"/>
        <v>1.5383436958282109E-2</v>
      </c>
    </row>
    <row r="981" spans="1:13" x14ac:dyDescent="0.2">
      <c r="A981" s="6">
        <v>44503</v>
      </c>
      <c r="B981" s="7">
        <v>26.35</v>
      </c>
      <c r="C981" s="7">
        <v>144.77000000000001</v>
      </c>
      <c r="D981" s="7">
        <v>325.73</v>
      </c>
      <c r="E981" s="7">
        <v>169.2</v>
      </c>
      <c r="F981" s="7">
        <v>45.75</v>
      </c>
      <c r="G981" s="7">
        <v>362.47</v>
      </c>
      <c r="H981">
        <f t="shared" si="90"/>
        <v>-7.1847539166900167E-3</v>
      </c>
      <c r="I981">
        <f t="shared" si="91"/>
        <v>-1.9766057465067193E-2</v>
      </c>
      <c r="J981">
        <f t="shared" si="92"/>
        <v>-3.9341145434473257E-2</v>
      </c>
      <c r="K981">
        <f t="shared" si="93"/>
        <v>-2.7111411281747516E-2</v>
      </c>
      <c r="L981">
        <f t="shared" si="94"/>
        <v>1.5640807890095341E-2</v>
      </c>
      <c r="M981">
        <f t="shared" si="95"/>
        <v>-1.0183303535102346E-2</v>
      </c>
    </row>
    <row r="982" spans="1:13" x14ac:dyDescent="0.2">
      <c r="A982" s="6">
        <v>44502</v>
      </c>
      <c r="B982" s="7">
        <v>25.77</v>
      </c>
      <c r="C982" s="7">
        <v>144.88999999999999</v>
      </c>
      <c r="D982" s="7">
        <v>325.63</v>
      </c>
      <c r="E982" s="7">
        <v>165.64</v>
      </c>
      <c r="F982" s="7">
        <v>46.27</v>
      </c>
      <c r="G982" s="7">
        <v>370.94</v>
      </c>
      <c r="H982">
        <f t="shared" si="90"/>
        <v>-2.2257250323097715E-2</v>
      </c>
      <c r="I982">
        <f t="shared" si="91"/>
        <v>8.2855766667864041E-4</v>
      </c>
      <c r="J982">
        <f t="shared" si="92"/>
        <v>-3.070498673105445E-4</v>
      </c>
      <c r="K982">
        <f t="shared" si="93"/>
        <v>-2.1264688494756372E-2</v>
      </c>
      <c r="L982">
        <f t="shared" si="94"/>
        <v>1.1302011197377967E-2</v>
      </c>
      <c r="M982">
        <f t="shared" si="95"/>
        <v>2.3098612211784601E-2</v>
      </c>
    </row>
    <row r="983" spans="1:13" x14ac:dyDescent="0.2">
      <c r="A983" s="6">
        <v>44501</v>
      </c>
      <c r="B983" s="7">
        <v>25.51</v>
      </c>
      <c r="C983" s="7">
        <v>147.9</v>
      </c>
      <c r="D983" s="7">
        <v>333.32</v>
      </c>
      <c r="E983" s="7">
        <v>165.91</v>
      </c>
      <c r="F983" s="7">
        <v>46.04</v>
      </c>
      <c r="G983" s="7">
        <v>367.58</v>
      </c>
      <c r="H983">
        <f t="shared" si="90"/>
        <v>-1.0140492510553552E-2</v>
      </c>
      <c r="I983">
        <f t="shared" si="91"/>
        <v>2.056153588412336E-2</v>
      </c>
      <c r="J983">
        <f t="shared" si="92"/>
        <v>2.3341222037890443E-2</v>
      </c>
      <c r="K983">
        <f t="shared" si="93"/>
        <v>1.6287139778974821E-3</v>
      </c>
      <c r="L983">
        <f t="shared" si="94"/>
        <v>-4.9832190652264411E-3</v>
      </c>
      <c r="M983">
        <f t="shared" si="95"/>
        <v>-9.0993424238128857E-3</v>
      </c>
    </row>
    <row r="984" spans="1:13" x14ac:dyDescent="0.2">
      <c r="A984" s="6">
        <v>44498</v>
      </c>
      <c r="B984" s="7">
        <v>24.89</v>
      </c>
      <c r="C984" s="7">
        <v>148.01</v>
      </c>
      <c r="D984" s="7">
        <v>336.55</v>
      </c>
      <c r="E984" s="7">
        <v>168.62</v>
      </c>
      <c r="F984" s="7">
        <v>45.72</v>
      </c>
      <c r="G984" s="7">
        <v>367.95</v>
      </c>
      <c r="H984">
        <f t="shared" si="90"/>
        <v>-2.4604415774219394E-2</v>
      </c>
      <c r="I984">
        <f t="shared" si="91"/>
        <v>7.4346933234319254E-4</v>
      </c>
      <c r="J984">
        <f t="shared" si="92"/>
        <v>9.6437369427162453E-3</v>
      </c>
      <c r="K984">
        <f t="shared" si="93"/>
        <v>1.6202189839265597E-2</v>
      </c>
      <c r="L984">
        <f t="shared" si="94"/>
        <v>-6.9747449270719745E-3</v>
      </c>
      <c r="M984">
        <f t="shared" si="95"/>
        <v>1.0060773352800023E-3</v>
      </c>
    </row>
    <row r="985" spans="1:13" x14ac:dyDescent="0.2">
      <c r="A985" s="6">
        <v>44497</v>
      </c>
      <c r="B985" s="7">
        <v>24.4</v>
      </c>
      <c r="C985" s="7">
        <v>147.83000000000001</v>
      </c>
      <c r="D985" s="7">
        <v>339.04</v>
      </c>
      <c r="E985" s="7">
        <v>172.33</v>
      </c>
      <c r="F985" s="7">
        <v>44.96</v>
      </c>
      <c r="G985" s="7">
        <v>367.86</v>
      </c>
      <c r="H985">
        <f t="shared" si="90"/>
        <v>-1.9882984080344571E-2</v>
      </c>
      <c r="I985">
        <f t="shared" si="91"/>
        <v>-1.2168741360986371E-3</v>
      </c>
      <c r="J985">
        <f t="shared" si="92"/>
        <v>7.37136806326675E-3</v>
      </c>
      <c r="K985">
        <f t="shared" si="93"/>
        <v>2.1763580798956184E-2</v>
      </c>
      <c r="L985">
        <f t="shared" si="94"/>
        <v>-1.6762633341174268E-2</v>
      </c>
      <c r="M985">
        <f t="shared" si="95"/>
        <v>-2.4462836995639082E-4</v>
      </c>
    </row>
    <row r="986" spans="1:13" x14ac:dyDescent="0.2">
      <c r="A986" s="6">
        <v>44496</v>
      </c>
      <c r="B986" s="7">
        <v>24.67</v>
      </c>
      <c r="C986" s="7">
        <v>147.25</v>
      </c>
      <c r="D986" s="7">
        <v>333.79</v>
      </c>
      <c r="E986" s="7">
        <v>169.62</v>
      </c>
      <c r="F986" s="7">
        <v>45.2</v>
      </c>
      <c r="G986" s="7">
        <v>365.31</v>
      </c>
      <c r="H986">
        <f t="shared" si="90"/>
        <v>1.100479824210923E-2</v>
      </c>
      <c r="I986">
        <f t="shared" si="91"/>
        <v>-3.93114238130247E-3</v>
      </c>
      <c r="J986">
        <f t="shared" si="92"/>
        <v>-1.5606041799723682E-2</v>
      </c>
      <c r="K986">
        <f t="shared" si="93"/>
        <v>-1.5850602359931718E-2</v>
      </c>
      <c r="L986">
        <f t="shared" si="94"/>
        <v>5.323881252750017E-3</v>
      </c>
      <c r="M986">
        <f t="shared" si="95"/>
        <v>-6.9561228156258866E-3</v>
      </c>
    </row>
    <row r="987" spans="1:13" x14ac:dyDescent="0.2">
      <c r="A987" s="6">
        <v>44495</v>
      </c>
      <c r="B987" s="7">
        <v>23.12</v>
      </c>
      <c r="C987" s="7">
        <v>145.59</v>
      </c>
      <c r="D987" s="7">
        <v>329.59</v>
      </c>
      <c r="E987" s="7">
        <v>168.8</v>
      </c>
      <c r="F987" s="7">
        <v>44.82</v>
      </c>
      <c r="G987" s="7">
        <v>355.41</v>
      </c>
      <c r="H987">
        <f t="shared" si="90"/>
        <v>-6.4889886737088676E-2</v>
      </c>
      <c r="I987">
        <f t="shared" si="91"/>
        <v>-1.1337370446461515E-2</v>
      </c>
      <c r="J987">
        <f t="shared" si="92"/>
        <v>-1.2662594951035302E-2</v>
      </c>
      <c r="K987">
        <f t="shared" si="93"/>
        <v>-4.846058771697157E-3</v>
      </c>
      <c r="L987">
        <f t="shared" si="94"/>
        <v>-8.4426184654045888E-3</v>
      </c>
      <c r="M987">
        <f t="shared" si="95"/>
        <v>-2.7474255552248236E-2</v>
      </c>
    </row>
    <row r="988" spans="1:13" x14ac:dyDescent="0.2">
      <c r="A988" s="6">
        <v>44494</v>
      </c>
      <c r="B988" s="7">
        <v>22.68</v>
      </c>
      <c r="C988" s="7">
        <v>144.44</v>
      </c>
      <c r="D988" s="7">
        <v>326.07</v>
      </c>
      <c r="E988" s="7">
        <v>166.02</v>
      </c>
      <c r="F988" s="7">
        <v>45.21</v>
      </c>
      <c r="G988" s="7">
        <v>353.14</v>
      </c>
      <c r="H988">
        <f t="shared" si="90"/>
        <v>-1.9214564944625472E-2</v>
      </c>
      <c r="I988">
        <f t="shared" si="91"/>
        <v>-7.9302556759775558E-3</v>
      </c>
      <c r="J988">
        <f t="shared" si="92"/>
        <v>-1.0737375526024927E-2</v>
      </c>
      <c r="K988">
        <f t="shared" si="93"/>
        <v>-1.6606319134967247E-2</v>
      </c>
      <c r="L988">
        <f t="shared" si="94"/>
        <v>8.6638329337329501E-3</v>
      </c>
      <c r="M988">
        <f t="shared" si="95"/>
        <v>-6.407473760125364E-3</v>
      </c>
    </row>
    <row r="989" spans="1:13" x14ac:dyDescent="0.2">
      <c r="A989" s="6">
        <v>44491</v>
      </c>
      <c r="B989" s="7">
        <v>22.65</v>
      </c>
      <c r="C989" s="7">
        <v>142.51</v>
      </c>
      <c r="D989" s="7">
        <v>327.96</v>
      </c>
      <c r="E989" s="7">
        <v>166.78</v>
      </c>
      <c r="F989" s="7">
        <v>46.39</v>
      </c>
      <c r="G989" s="7">
        <v>334.01</v>
      </c>
      <c r="H989">
        <f t="shared" si="90"/>
        <v>-1.3236269305083642E-3</v>
      </c>
      <c r="I989">
        <f t="shared" si="91"/>
        <v>-1.3452023724136286E-2</v>
      </c>
      <c r="J989">
        <f t="shared" si="92"/>
        <v>5.7795674847716857E-3</v>
      </c>
      <c r="K989">
        <f t="shared" si="93"/>
        <v>4.5673156319496607E-3</v>
      </c>
      <c r="L989">
        <f t="shared" si="94"/>
        <v>2.576561745713855E-2</v>
      </c>
      <c r="M989">
        <f t="shared" si="95"/>
        <v>-5.5693646226387686E-2</v>
      </c>
    </row>
    <row r="990" spans="1:13" x14ac:dyDescent="0.2">
      <c r="A990" s="6">
        <v>44490</v>
      </c>
      <c r="B990" s="7">
        <v>22.06</v>
      </c>
      <c r="C990" s="7">
        <v>147.03</v>
      </c>
      <c r="D990" s="7">
        <v>321.58999999999997</v>
      </c>
      <c r="E990" s="7">
        <v>171.75</v>
      </c>
      <c r="F990" s="7">
        <v>46.66</v>
      </c>
      <c r="G990" s="7">
        <v>335.41</v>
      </c>
      <c r="H990">
        <f t="shared" si="90"/>
        <v>-2.6393838103686659E-2</v>
      </c>
      <c r="I990">
        <f t="shared" si="91"/>
        <v>3.1224474904445E-2</v>
      </c>
      <c r="J990">
        <f t="shared" si="92"/>
        <v>-1.9614207433973699E-2</v>
      </c>
      <c r="K990">
        <f t="shared" si="93"/>
        <v>2.9364352443619436E-2</v>
      </c>
      <c r="L990">
        <f t="shared" si="94"/>
        <v>5.8033478296316034E-3</v>
      </c>
      <c r="M990">
        <f t="shared" si="95"/>
        <v>4.1827314424757785E-3</v>
      </c>
    </row>
    <row r="991" spans="1:13" x14ac:dyDescent="0.2">
      <c r="A991" s="6">
        <v>44489</v>
      </c>
      <c r="B991" s="7">
        <v>22.24</v>
      </c>
      <c r="C991" s="7">
        <v>144.85</v>
      </c>
      <c r="D991" s="7">
        <v>314.98</v>
      </c>
      <c r="E991" s="7">
        <v>170.75</v>
      </c>
      <c r="F991" s="7">
        <v>46.89</v>
      </c>
      <c r="G991" s="7">
        <v>330.91</v>
      </c>
      <c r="H991">
        <f t="shared" si="90"/>
        <v>8.1264555570251286E-3</v>
      </c>
      <c r="I991">
        <f t="shared" si="91"/>
        <v>-1.4937923374206489E-2</v>
      </c>
      <c r="J991">
        <f t="shared" si="92"/>
        <v>-2.0768297547568502E-2</v>
      </c>
      <c r="K991">
        <f t="shared" si="93"/>
        <v>-5.8394326515593276E-3</v>
      </c>
      <c r="L991">
        <f t="shared" si="94"/>
        <v>4.9171665082111769E-3</v>
      </c>
      <c r="M991">
        <f t="shared" si="95"/>
        <v>-1.3507229009350684E-2</v>
      </c>
    </row>
    <row r="992" spans="1:13" x14ac:dyDescent="0.2">
      <c r="A992" s="6">
        <v>44488</v>
      </c>
      <c r="B992" s="7">
        <v>22.18</v>
      </c>
      <c r="C992" s="7">
        <v>145.22</v>
      </c>
      <c r="D992" s="7">
        <v>310.31</v>
      </c>
      <c r="E992" s="7">
        <v>172.21</v>
      </c>
      <c r="F992" s="7">
        <v>46.87</v>
      </c>
      <c r="G992" s="7">
        <v>331.76</v>
      </c>
      <c r="H992">
        <f t="shared" si="90"/>
        <v>-2.7014874601606338E-3</v>
      </c>
      <c r="I992">
        <f t="shared" si="91"/>
        <v>2.5511097367413331E-3</v>
      </c>
      <c r="J992">
        <f t="shared" si="92"/>
        <v>-1.4937346934159193E-2</v>
      </c>
      <c r="K992">
        <f t="shared" si="93"/>
        <v>8.5141638659087821E-3</v>
      </c>
      <c r="L992">
        <f t="shared" si="94"/>
        <v>-4.2662116688026294E-4</v>
      </c>
      <c r="M992">
        <f t="shared" si="95"/>
        <v>2.5653808567363966E-3</v>
      </c>
    </row>
    <row r="993" spans="1:13" x14ac:dyDescent="0.2">
      <c r="A993" s="6">
        <v>44487</v>
      </c>
      <c r="B993" s="7">
        <v>21.82</v>
      </c>
      <c r="C993" s="7">
        <v>138.35</v>
      </c>
      <c r="D993" s="7">
        <v>313.88</v>
      </c>
      <c r="E993" s="7">
        <v>172.34</v>
      </c>
      <c r="F993" s="7">
        <v>47.3</v>
      </c>
      <c r="G993" s="7">
        <v>333.62</v>
      </c>
      <c r="H993">
        <f t="shared" si="90"/>
        <v>-1.6364001517296195E-2</v>
      </c>
      <c r="I993">
        <f t="shared" si="91"/>
        <v>-4.846312771916577E-2</v>
      </c>
      <c r="J993">
        <f t="shared" si="92"/>
        <v>1.1438949446997061E-2</v>
      </c>
      <c r="K993">
        <f t="shared" si="93"/>
        <v>7.5460749481264877E-4</v>
      </c>
      <c r="L993">
        <f t="shared" si="94"/>
        <v>9.1324835632724723E-3</v>
      </c>
      <c r="M993">
        <f t="shared" si="95"/>
        <v>5.5908047877836053E-3</v>
      </c>
    </row>
    <row r="994" spans="1:13" x14ac:dyDescent="0.2">
      <c r="A994" s="6">
        <v>44484</v>
      </c>
      <c r="B994" s="7">
        <v>21.7</v>
      </c>
      <c r="C994" s="7">
        <v>136.51</v>
      </c>
      <c r="D994" s="7">
        <v>326.68</v>
      </c>
      <c r="E994" s="7">
        <v>170.45</v>
      </c>
      <c r="F994" s="7">
        <v>47.13</v>
      </c>
      <c r="G994" s="7">
        <v>331.77</v>
      </c>
      <c r="H994">
        <f t="shared" si="90"/>
        <v>-5.5147198585109667E-3</v>
      </c>
      <c r="I994">
        <f t="shared" si="91"/>
        <v>-1.3388834218048543E-2</v>
      </c>
      <c r="J994">
        <f t="shared" si="92"/>
        <v>3.9970351230802482E-2</v>
      </c>
      <c r="K994">
        <f t="shared" si="93"/>
        <v>-1.1027271227708701E-2</v>
      </c>
      <c r="L994">
        <f t="shared" si="94"/>
        <v>-3.6005545622476657E-3</v>
      </c>
      <c r="M994">
        <f t="shared" si="95"/>
        <v>-5.5606629705311815E-3</v>
      </c>
    </row>
    <row r="995" spans="1:13" x14ac:dyDescent="0.2">
      <c r="A995" s="6">
        <v>44483</v>
      </c>
      <c r="B995" s="7">
        <v>20.9</v>
      </c>
      <c r="C995" s="7">
        <v>136.62</v>
      </c>
      <c r="D995" s="7">
        <v>322.62</v>
      </c>
      <c r="E995" s="7">
        <v>164.99</v>
      </c>
      <c r="F995" s="7">
        <v>47.44</v>
      </c>
      <c r="G995" s="7">
        <v>331.6</v>
      </c>
      <c r="H995">
        <f t="shared" si="90"/>
        <v>-3.7563101575648614E-2</v>
      </c>
      <c r="I995">
        <f t="shared" si="91"/>
        <v>8.0547728881686829E-4</v>
      </c>
      <c r="J995">
        <f t="shared" si="92"/>
        <v>-1.2505938440433169E-2</v>
      </c>
      <c r="K995">
        <f t="shared" si="93"/>
        <v>-3.2557132580558923E-2</v>
      </c>
      <c r="L995">
        <f t="shared" si="94"/>
        <v>6.5560137538303743E-3</v>
      </c>
      <c r="M995">
        <f t="shared" si="95"/>
        <v>-5.1253449423832706E-4</v>
      </c>
    </row>
    <row r="996" spans="1:13" x14ac:dyDescent="0.2">
      <c r="A996" s="6">
        <v>44482</v>
      </c>
      <c r="B996" s="7">
        <v>20.63</v>
      </c>
      <c r="C996" s="7">
        <v>140.91</v>
      </c>
      <c r="D996" s="7">
        <v>339.79</v>
      </c>
      <c r="E996" s="7">
        <v>164.21</v>
      </c>
      <c r="F996" s="7">
        <v>47.77</v>
      </c>
      <c r="G996" s="7">
        <v>335</v>
      </c>
      <c r="H996">
        <f t="shared" si="90"/>
        <v>-1.3002831887604855E-2</v>
      </c>
      <c r="I996">
        <f t="shared" si="91"/>
        <v>3.0918039403310092E-2</v>
      </c>
      <c r="J996">
        <f t="shared" si="92"/>
        <v>5.1852619679219114E-2</v>
      </c>
      <c r="K996">
        <f t="shared" si="93"/>
        <v>-4.7387694996069915E-3</v>
      </c>
      <c r="L996">
        <f t="shared" si="94"/>
        <v>6.9320727124005362E-3</v>
      </c>
      <c r="M996">
        <f t="shared" si="95"/>
        <v>1.0201108563926451E-2</v>
      </c>
    </row>
    <row r="997" spans="1:13" x14ac:dyDescent="0.2">
      <c r="A997" s="6">
        <v>44481</v>
      </c>
      <c r="B997" s="7">
        <v>20.65</v>
      </c>
      <c r="C997" s="7">
        <v>140.80000000000001</v>
      </c>
      <c r="D997" s="7">
        <v>338.69</v>
      </c>
      <c r="E997" s="7">
        <v>162.37</v>
      </c>
      <c r="F997" s="7">
        <v>47.42</v>
      </c>
      <c r="G997" s="7">
        <v>332.11</v>
      </c>
      <c r="H997">
        <f t="shared" si="90"/>
        <v>9.6899232388125689E-4</v>
      </c>
      <c r="I997">
        <f t="shared" si="91"/>
        <v>-7.8094498307128507E-4</v>
      </c>
      <c r="J997">
        <f t="shared" si="92"/>
        <v>-3.2425449940814369E-3</v>
      </c>
      <c r="K997">
        <f t="shared" si="93"/>
        <v>-1.1268414904722969E-2</v>
      </c>
      <c r="L997">
        <f t="shared" si="94"/>
        <v>-7.353746764611104E-3</v>
      </c>
      <c r="M997">
        <f t="shared" si="95"/>
        <v>-8.6642924834797221E-3</v>
      </c>
    </row>
    <row r="998" spans="1:13" x14ac:dyDescent="0.2">
      <c r="A998" s="6">
        <v>44480</v>
      </c>
      <c r="B998" s="7">
        <v>20.79</v>
      </c>
      <c r="C998" s="7">
        <v>142.26</v>
      </c>
      <c r="D998" s="7">
        <v>337.91</v>
      </c>
      <c r="E998" s="7">
        <v>162.32</v>
      </c>
      <c r="F998" s="7">
        <v>47.28</v>
      </c>
      <c r="G998" s="7">
        <v>330.6</v>
      </c>
      <c r="H998">
        <f t="shared" si="90"/>
        <v>6.7567824628799074E-3</v>
      </c>
      <c r="I998">
        <f t="shared" si="91"/>
        <v>1.0315925581426983E-2</v>
      </c>
      <c r="J998">
        <f t="shared" si="92"/>
        <v>-2.305646897843417E-3</v>
      </c>
      <c r="K998">
        <f t="shared" si="93"/>
        <v>-3.0798608146375973E-4</v>
      </c>
      <c r="L998">
        <f t="shared" si="94"/>
        <v>-2.9567075394166865E-3</v>
      </c>
      <c r="M998">
        <f t="shared" si="95"/>
        <v>-4.557053954662783E-3</v>
      </c>
    </row>
    <row r="999" spans="1:13" x14ac:dyDescent="0.2">
      <c r="A999" s="6">
        <v>44477</v>
      </c>
      <c r="B999" s="7">
        <v>21.03</v>
      </c>
      <c r="C999" s="7">
        <v>141.80000000000001</v>
      </c>
      <c r="D999" s="7">
        <v>333.29</v>
      </c>
      <c r="E999" s="7">
        <v>164.43</v>
      </c>
      <c r="F999" s="7">
        <v>47.3</v>
      </c>
      <c r="G999" s="7">
        <v>329.87</v>
      </c>
      <c r="H999">
        <f t="shared" si="90"/>
        <v>1.1477887844687057E-2</v>
      </c>
      <c r="I999">
        <f t="shared" si="91"/>
        <v>-3.2387552073418337E-3</v>
      </c>
      <c r="J999">
        <f t="shared" si="92"/>
        <v>-1.3766605973641056E-2</v>
      </c>
      <c r="K999">
        <f t="shared" si="93"/>
        <v>1.2915252208575558E-2</v>
      </c>
      <c r="L999">
        <f t="shared" si="94"/>
        <v>4.2292240004446164E-4</v>
      </c>
      <c r="M999">
        <f t="shared" si="95"/>
        <v>-2.2105479348446958E-3</v>
      </c>
    </row>
    <row r="1000" spans="1:13" x14ac:dyDescent="0.2">
      <c r="A1000" s="6">
        <v>44476</v>
      </c>
      <c r="B1000" s="7">
        <v>20.66</v>
      </c>
      <c r="C1000" s="7">
        <v>140.4</v>
      </c>
      <c r="D1000" s="7">
        <v>322.77</v>
      </c>
      <c r="E1000" s="7">
        <v>165.12</v>
      </c>
      <c r="F1000" s="7">
        <v>47.18</v>
      </c>
      <c r="G1000" s="7">
        <v>334.6</v>
      </c>
      <c r="H1000">
        <f t="shared" si="90"/>
        <v>-1.7750526023115946E-2</v>
      </c>
      <c r="I1000">
        <f t="shared" si="91"/>
        <v>-9.9221225063163641E-3</v>
      </c>
      <c r="J1000">
        <f t="shared" si="92"/>
        <v>-3.2072986589367636E-2</v>
      </c>
      <c r="K1000">
        <f t="shared" si="93"/>
        <v>4.1875345670631652E-3</v>
      </c>
      <c r="L1000">
        <f t="shared" si="94"/>
        <v>-2.5402215183582743E-3</v>
      </c>
      <c r="M1000">
        <f t="shared" si="95"/>
        <v>1.4237151100644496E-2</v>
      </c>
    </row>
    <row r="1001" spans="1:13" x14ac:dyDescent="0.2">
      <c r="A1001" s="6">
        <v>44475</v>
      </c>
      <c r="B1001" s="7">
        <v>20.41</v>
      </c>
      <c r="C1001" s="7">
        <v>140.18</v>
      </c>
      <c r="D1001" s="7">
        <v>326.52</v>
      </c>
      <c r="E1001" s="7">
        <v>163.1</v>
      </c>
      <c r="F1001" s="7">
        <v>46.87</v>
      </c>
      <c r="G1001" s="7">
        <v>334.45</v>
      </c>
      <c r="H1001">
        <f t="shared" si="90"/>
        <v>-1.2174486869739091E-2</v>
      </c>
      <c r="I1001">
        <f t="shared" si="91"/>
        <v>-1.5681805195320035E-3</v>
      </c>
      <c r="J1001">
        <f t="shared" si="92"/>
        <v>1.1551207309227693E-2</v>
      </c>
      <c r="K1001">
        <f t="shared" si="93"/>
        <v>-1.2308972666229833E-2</v>
      </c>
      <c r="L1001">
        <f t="shared" si="94"/>
        <v>-6.5922620449142761E-3</v>
      </c>
      <c r="M1001">
        <f t="shared" si="95"/>
        <v>-4.4839698830663921E-4</v>
      </c>
    </row>
    <row r="1002" spans="1:13" x14ac:dyDescent="0.2">
      <c r="A1002" s="6">
        <v>44474</v>
      </c>
      <c r="B1002" s="7">
        <v>19.690000000000001</v>
      </c>
      <c r="C1002" s="7">
        <v>136.63999999999999</v>
      </c>
      <c r="D1002" s="7">
        <v>322.55</v>
      </c>
      <c r="E1002" s="7">
        <v>161.05000000000001</v>
      </c>
      <c r="F1002" s="7">
        <v>46.58</v>
      </c>
      <c r="G1002" s="7">
        <v>335.13</v>
      </c>
      <c r="H1002">
        <f t="shared" si="90"/>
        <v>-3.5914084170719229E-2</v>
      </c>
      <c r="I1002">
        <f t="shared" si="91"/>
        <v>-2.557758103191907E-2</v>
      </c>
      <c r="J1002">
        <f t="shared" si="92"/>
        <v>-1.2233039604904504E-2</v>
      </c>
      <c r="K1002">
        <f t="shared" si="93"/>
        <v>-1.2648633849760289E-2</v>
      </c>
      <c r="L1002">
        <f t="shared" si="94"/>
        <v>-6.2065474784197975E-3</v>
      </c>
      <c r="M1002">
        <f t="shared" si="95"/>
        <v>2.0311246864497538E-3</v>
      </c>
    </row>
    <row r="1003" spans="1:13" x14ac:dyDescent="0.2">
      <c r="A1003" s="6">
        <v>44473</v>
      </c>
      <c r="B1003" s="7">
        <v>20.7</v>
      </c>
      <c r="C1003" s="7">
        <v>135.51</v>
      </c>
      <c r="D1003" s="7">
        <v>321.79000000000002</v>
      </c>
      <c r="E1003" s="7">
        <v>159.49</v>
      </c>
      <c r="F1003" s="7">
        <v>46.97</v>
      </c>
      <c r="G1003" s="7">
        <v>332.32</v>
      </c>
      <c r="H1003">
        <f t="shared" si="90"/>
        <v>5.0022807620289017E-2</v>
      </c>
      <c r="I1003">
        <f t="shared" si="91"/>
        <v>-8.304291705637264E-3</v>
      </c>
      <c r="J1003">
        <f t="shared" si="92"/>
        <v>-2.3590041048007103E-3</v>
      </c>
      <c r="K1003">
        <f t="shared" si="93"/>
        <v>-9.7336514425451649E-3</v>
      </c>
      <c r="L1003">
        <f t="shared" si="94"/>
        <v>8.3378355827087736E-3</v>
      </c>
      <c r="M1003">
        <f t="shared" si="95"/>
        <v>-8.4201561230645081E-3</v>
      </c>
    </row>
    <row r="1004" spans="1:13" x14ac:dyDescent="0.2">
      <c r="A1004" s="6">
        <v>44470</v>
      </c>
      <c r="B1004" s="7">
        <v>20.67</v>
      </c>
      <c r="C1004" s="7">
        <v>137.96</v>
      </c>
      <c r="D1004" s="7">
        <v>323.45999999999998</v>
      </c>
      <c r="E1004" s="7">
        <v>164.16</v>
      </c>
      <c r="F1004" s="7">
        <v>47.38</v>
      </c>
      <c r="G1004" s="7">
        <v>334.17</v>
      </c>
      <c r="H1004">
        <f t="shared" si="90"/>
        <v>-1.4503265776464136E-3</v>
      </c>
      <c r="I1004">
        <f t="shared" si="91"/>
        <v>1.7918349734017715E-2</v>
      </c>
      <c r="J1004">
        <f t="shared" si="92"/>
        <v>5.1762998181822664E-3</v>
      </c>
      <c r="K1004">
        <f t="shared" si="93"/>
        <v>2.8860337647741856E-2</v>
      </c>
      <c r="L1004">
        <f t="shared" si="94"/>
        <v>8.6910986917357429E-3</v>
      </c>
      <c r="M1004">
        <f t="shared" si="95"/>
        <v>5.5514853974059052E-3</v>
      </c>
    </row>
    <row r="1005" spans="1:13" x14ac:dyDescent="0.2">
      <c r="A1005" s="6">
        <v>44469</v>
      </c>
      <c r="B1005" s="7">
        <v>20.47</v>
      </c>
      <c r="C1005" s="7">
        <v>138.83000000000001</v>
      </c>
      <c r="D1005" s="7">
        <v>328.03</v>
      </c>
      <c r="E1005" s="7">
        <v>164.25</v>
      </c>
      <c r="F1005" s="7">
        <v>46.84</v>
      </c>
      <c r="G1005" s="7">
        <v>329.43</v>
      </c>
      <c r="H1005">
        <f t="shared" si="90"/>
        <v>-9.7229740204789108E-3</v>
      </c>
      <c r="I1005">
        <f t="shared" si="91"/>
        <v>6.2863749780709289E-3</v>
      </c>
      <c r="J1005">
        <f t="shared" si="92"/>
        <v>1.4029608924622494E-2</v>
      </c>
      <c r="K1005">
        <f t="shared" si="93"/>
        <v>5.4809538231519541E-4</v>
      </c>
      <c r="L1005">
        <f t="shared" si="94"/>
        <v>-1.1462660001122772E-2</v>
      </c>
      <c r="M1005">
        <f t="shared" si="95"/>
        <v>-1.4285957247476541E-2</v>
      </c>
    </row>
    <row r="1006" spans="1:13" x14ac:dyDescent="0.2">
      <c r="A1006" s="6">
        <v>44468</v>
      </c>
      <c r="B1006" s="7">
        <v>20.66</v>
      </c>
      <c r="C1006" s="7">
        <v>138.27000000000001</v>
      </c>
      <c r="D1006" s="7">
        <v>327.2</v>
      </c>
      <c r="E1006" s="7">
        <v>165.06</v>
      </c>
      <c r="F1006" s="7">
        <v>46.36</v>
      </c>
      <c r="G1006" s="7">
        <v>328.2</v>
      </c>
      <c r="H1006">
        <f t="shared" si="90"/>
        <v>9.2390640182944649E-3</v>
      </c>
      <c r="I1006">
        <f t="shared" si="91"/>
        <v>-4.0418676461844508E-3</v>
      </c>
      <c r="J1006">
        <f t="shared" si="92"/>
        <v>-2.5334628876627092E-3</v>
      </c>
      <c r="K1006">
        <f t="shared" si="93"/>
        <v>4.9193867998181939E-3</v>
      </c>
      <c r="L1006">
        <f t="shared" si="94"/>
        <v>-1.0300520257965767E-2</v>
      </c>
      <c r="M1006">
        <f t="shared" si="95"/>
        <v>-3.7407096217410996E-3</v>
      </c>
    </row>
    <row r="1007" spans="1:13" x14ac:dyDescent="0.2">
      <c r="A1007" s="6">
        <v>44467</v>
      </c>
      <c r="B1007" s="7">
        <v>21.62</v>
      </c>
      <c r="C1007" s="7">
        <v>136.62</v>
      </c>
      <c r="D1007" s="7">
        <v>331.6</v>
      </c>
      <c r="E1007" s="7">
        <v>165.8</v>
      </c>
      <c r="F1007" s="7">
        <v>46.1</v>
      </c>
      <c r="G1007" s="7">
        <v>322.44</v>
      </c>
      <c r="H1007">
        <f t="shared" si="90"/>
        <v>4.5419348519569781E-2</v>
      </c>
      <c r="I1007">
        <f t="shared" si="91"/>
        <v>-1.2004946096823375E-2</v>
      </c>
      <c r="J1007">
        <f t="shared" si="92"/>
        <v>1.3357818532547952E-2</v>
      </c>
      <c r="K1007">
        <f t="shared" si="93"/>
        <v>4.4731985366564427E-3</v>
      </c>
      <c r="L1007">
        <f t="shared" si="94"/>
        <v>-5.6240684689481081E-3</v>
      </c>
      <c r="M1007">
        <f t="shared" si="95"/>
        <v>-1.7706106240590297E-2</v>
      </c>
    </row>
    <row r="1008" spans="1:13" x14ac:dyDescent="0.2">
      <c r="A1008" s="6">
        <v>44466</v>
      </c>
      <c r="B1008" s="7">
        <v>22.04</v>
      </c>
      <c r="C1008" s="7">
        <v>135.09</v>
      </c>
      <c r="D1008" s="7">
        <v>330.92</v>
      </c>
      <c r="E1008" s="7">
        <v>170.29</v>
      </c>
      <c r="F1008" s="7">
        <v>45.69</v>
      </c>
      <c r="G1008" s="7">
        <v>322.23</v>
      </c>
      <c r="H1008">
        <f t="shared" si="90"/>
        <v>1.9240172073651401E-2</v>
      </c>
      <c r="I1008">
        <f t="shared" si="91"/>
        <v>-1.1262126322113292E-2</v>
      </c>
      <c r="J1008">
        <f t="shared" si="92"/>
        <v>-2.0527689391578391E-3</v>
      </c>
      <c r="K1008">
        <f t="shared" si="93"/>
        <v>2.6720623337318533E-2</v>
      </c>
      <c r="L1008">
        <f t="shared" si="94"/>
        <v>-8.9334944274227432E-3</v>
      </c>
      <c r="M1008">
        <f t="shared" si="95"/>
        <v>-6.5149613733476964E-4</v>
      </c>
    </row>
    <row r="1009" spans="1:13" x14ac:dyDescent="0.2">
      <c r="A1009" s="6">
        <v>44463</v>
      </c>
      <c r="B1009" s="7">
        <v>22.44</v>
      </c>
      <c r="C1009" s="7">
        <v>132.74</v>
      </c>
      <c r="D1009" s="7">
        <v>324.23</v>
      </c>
      <c r="E1009" s="7">
        <v>171.28</v>
      </c>
      <c r="F1009" s="7">
        <v>44.74</v>
      </c>
      <c r="G1009" s="7">
        <v>319.55</v>
      </c>
      <c r="H1009">
        <f t="shared" si="90"/>
        <v>1.798609636978192E-2</v>
      </c>
      <c r="I1009">
        <f t="shared" si="91"/>
        <v>-1.7548895263811044E-2</v>
      </c>
      <c r="J1009">
        <f t="shared" si="92"/>
        <v>-2.042351382961818E-2</v>
      </c>
      <c r="K1009">
        <f t="shared" si="93"/>
        <v>5.7967782429141582E-3</v>
      </c>
      <c r="L1009">
        <f t="shared" si="94"/>
        <v>-2.1011499513196433E-2</v>
      </c>
      <c r="M1009">
        <f t="shared" si="95"/>
        <v>-8.3518201817745878E-3</v>
      </c>
    </row>
    <row r="1010" spans="1:13" x14ac:dyDescent="0.2">
      <c r="A1010" s="6">
        <v>44462</v>
      </c>
      <c r="B1010" s="7">
        <v>21.9</v>
      </c>
      <c r="C1010" s="7">
        <v>135.61000000000001</v>
      </c>
      <c r="D1010" s="7">
        <v>340.91</v>
      </c>
      <c r="E1010" s="7">
        <v>170.8</v>
      </c>
      <c r="F1010" s="7">
        <v>44.38</v>
      </c>
      <c r="G1010" s="7">
        <v>315.41000000000003</v>
      </c>
      <c r="H1010">
        <f t="shared" si="90"/>
        <v>-2.4358443832040527E-2</v>
      </c>
      <c r="I1010">
        <f t="shared" si="91"/>
        <v>2.1390791382075145E-2</v>
      </c>
      <c r="J1010">
        <f t="shared" si="92"/>
        <v>5.0165372336833144E-2</v>
      </c>
      <c r="K1010">
        <f t="shared" si="93"/>
        <v>-2.806362926957785E-3</v>
      </c>
      <c r="L1010">
        <f t="shared" si="94"/>
        <v>-8.0790385575356966E-3</v>
      </c>
      <c r="M1010">
        <f t="shared" si="95"/>
        <v>-1.3040376299519787E-2</v>
      </c>
    </row>
    <row r="1011" spans="1:13" x14ac:dyDescent="0.2">
      <c r="A1011" s="6">
        <v>44461</v>
      </c>
      <c r="B1011" s="7">
        <v>21.2</v>
      </c>
      <c r="C1011" s="7">
        <v>132.76</v>
      </c>
      <c r="D1011" s="7">
        <v>337.31</v>
      </c>
      <c r="E1011" s="7">
        <v>169</v>
      </c>
      <c r="F1011" s="7">
        <v>44.17</v>
      </c>
      <c r="G1011" s="7">
        <v>309.68</v>
      </c>
      <c r="H1011">
        <f t="shared" si="90"/>
        <v>-3.2485455144488307E-2</v>
      </c>
      <c r="I1011">
        <f t="shared" si="91"/>
        <v>-2.1240132248080225E-2</v>
      </c>
      <c r="J1011">
        <f t="shared" si="92"/>
        <v>-1.0616124002722339E-2</v>
      </c>
      <c r="K1011">
        <f t="shared" si="93"/>
        <v>-1.0594566431396028E-2</v>
      </c>
      <c r="L1011">
        <f t="shared" si="94"/>
        <v>-4.7430918960127367E-3</v>
      </c>
      <c r="M1011">
        <f t="shared" si="95"/>
        <v>-1.8333873527378336E-2</v>
      </c>
    </row>
    <row r="1012" spans="1:13" x14ac:dyDescent="0.2">
      <c r="A1012" s="6">
        <v>44460</v>
      </c>
      <c r="B1012" s="7">
        <v>21.07</v>
      </c>
      <c r="C1012" s="7">
        <v>133.43</v>
      </c>
      <c r="D1012" s="7">
        <v>337.53</v>
      </c>
      <c r="E1012" s="7">
        <v>167.18</v>
      </c>
      <c r="F1012" s="7">
        <v>43.69</v>
      </c>
      <c r="G1012" s="7">
        <v>304.49</v>
      </c>
      <c r="H1012">
        <f t="shared" si="90"/>
        <v>-6.1509538618690178E-3</v>
      </c>
      <c r="I1012">
        <f t="shared" si="91"/>
        <v>5.0340089025556296E-3</v>
      </c>
      <c r="J1012">
        <f t="shared" si="92"/>
        <v>6.5200642461533769E-4</v>
      </c>
      <c r="K1012">
        <f t="shared" si="93"/>
        <v>-1.0827638652063392E-2</v>
      </c>
      <c r="L1012">
        <f t="shared" si="94"/>
        <v>-1.0926582645090721E-2</v>
      </c>
      <c r="M1012">
        <f t="shared" si="95"/>
        <v>-1.6901260381205145E-2</v>
      </c>
    </row>
    <row r="1013" spans="1:13" x14ac:dyDescent="0.2">
      <c r="A1013" s="6">
        <v>44459</v>
      </c>
      <c r="B1013" s="7">
        <v>21.85</v>
      </c>
      <c r="C1013" s="7">
        <v>134.9</v>
      </c>
      <c r="D1013" s="7">
        <v>338.56</v>
      </c>
      <c r="E1013" s="7">
        <v>167.79</v>
      </c>
      <c r="F1013" s="7">
        <v>44.01</v>
      </c>
      <c r="G1013" s="7">
        <v>304.06</v>
      </c>
      <c r="H1013">
        <f t="shared" si="90"/>
        <v>3.6350693725501509E-2</v>
      </c>
      <c r="I1013">
        <f t="shared" si="91"/>
        <v>1.0956767459380946E-2</v>
      </c>
      <c r="J1013">
        <f t="shared" si="92"/>
        <v>3.0469339787898455E-3</v>
      </c>
      <c r="K1013">
        <f t="shared" si="93"/>
        <v>3.6421212305962273E-3</v>
      </c>
      <c r="L1013">
        <f t="shared" si="94"/>
        <v>7.2976378596555039E-3</v>
      </c>
      <c r="M1013">
        <f t="shared" si="95"/>
        <v>-1.4131955354976368E-3</v>
      </c>
    </row>
    <row r="1014" spans="1:13" x14ac:dyDescent="0.2">
      <c r="A1014" s="6">
        <v>44456</v>
      </c>
      <c r="B1014" s="7">
        <v>22.2</v>
      </c>
      <c r="C1014" s="7">
        <v>140.11000000000001</v>
      </c>
      <c r="D1014" s="7">
        <v>351.41</v>
      </c>
      <c r="E1014" s="7">
        <v>173.13</v>
      </c>
      <c r="F1014" s="7">
        <v>44.06</v>
      </c>
      <c r="G1014" s="7">
        <v>303.31</v>
      </c>
      <c r="H1014">
        <f t="shared" si="90"/>
        <v>1.5891367336634443E-2</v>
      </c>
      <c r="I1014">
        <f t="shared" si="91"/>
        <v>3.7894065169429968E-2</v>
      </c>
      <c r="J1014">
        <f t="shared" si="92"/>
        <v>3.7252303716385902E-2</v>
      </c>
      <c r="K1014">
        <f t="shared" si="93"/>
        <v>3.1329559889378515E-2</v>
      </c>
      <c r="L1014">
        <f t="shared" si="94"/>
        <v>1.1354605511971331E-3</v>
      </c>
      <c r="M1014">
        <f t="shared" si="95"/>
        <v>-2.4696655455586024E-3</v>
      </c>
    </row>
    <row r="1015" spans="1:13" x14ac:dyDescent="0.2">
      <c r="A1015" s="6">
        <v>44455</v>
      </c>
      <c r="B1015" s="7">
        <v>22.3</v>
      </c>
      <c r="C1015" s="7">
        <v>141.24</v>
      </c>
      <c r="D1015" s="7">
        <v>350.8</v>
      </c>
      <c r="E1015" s="7">
        <v>174.41</v>
      </c>
      <c r="F1015" s="7">
        <v>44.1</v>
      </c>
      <c r="G1015" s="7">
        <v>300.94</v>
      </c>
      <c r="H1015">
        <f t="shared" si="90"/>
        <v>4.4943895878392674E-3</v>
      </c>
      <c r="I1015">
        <f t="shared" si="91"/>
        <v>8.0327426770455714E-3</v>
      </c>
      <c r="J1015">
        <f t="shared" si="92"/>
        <v>-1.7373724482378774E-3</v>
      </c>
      <c r="K1015">
        <f t="shared" si="93"/>
        <v>7.3660918895923216E-3</v>
      </c>
      <c r="L1015">
        <f t="shared" si="94"/>
        <v>9.0744107860324375E-4</v>
      </c>
      <c r="M1015">
        <f t="shared" si="95"/>
        <v>-7.8444754763993367E-3</v>
      </c>
    </row>
    <row r="1016" spans="1:13" x14ac:dyDescent="0.2">
      <c r="A1016" s="6">
        <v>44454</v>
      </c>
      <c r="B1016" s="7">
        <v>22.2</v>
      </c>
      <c r="C1016" s="7">
        <v>140.25</v>
      </c>
      <c r="D1016" s="7">
        <v>343.84</v>
      </c>
      <c r="E1016" s="7">
        <v>173.79</v>
      </c>
      <c r="F1016" s="7">
        <v>43.97</v>
      </c>
      <c r="G1016" s="7">
        <v>303.77</v>
      </c>
      <c r="H1016">
        <f t="shared" si="90"/>
        <v>-4.4943895878393264E-3</v>
      </c>
      <c r="I1016">
        <f t="shared" si="91"/>
        <v>-7.0340266573800476E-3</v>
      </c>
      <c r="J1016">
        <f t="shared" si="92"/>
        <v>-2.0039827603827731E-2</v>
      </c>
      <c r="K1016">
        <f t="shared" si="93"/>
        <v>-3.5611755039346715E-3</v>
      </c>
      <c r="L1016">
        <f t="shared" si="94"/>
        <v>-2.9521992600816424E-3</v>
      </c>
      <c r="M1016">
        <f t="shared" si="95"/>
        <v>9.359926777829139E-3</v>
      </c>
    </row>
    <row r="1017" spans="1:13" x14ac:dyDescent="0.2">
      <c r="A1017" s="6">
        <v>44453</v>
      </c>
      <c r="B1017" s="7">
        <v>22.11</v>
      </c>
      <c r="C1017" s="7">
        <v>139.32</v>
      </c>
      <c r="D1017" s="7">
        <v>341.11</v>
      </c>
      <c r="E1017" s="7">
        <v>172.5</v>
      </c>
      <c r="F1017" s="7">
        <v>43.46</v>
      </c>
      <c r="G1017" s="7">
        <v>297.36</v>
      </c>
      <c r="H1017">
        <f t="shared" si="90"/>
        <v>-4.0622940088787928E-3</v>
      </c>
      <c r="I1017">
        <f t="shared" si="91"/>
        <v>-6.6530989050053325E-3</v>
      </c>
      <c r="J1017">
        <f t="shared" si="92"/>
        <v>-7.9714269834720731E-3</v>
      </c>
      <c r="K1017">
        <f t="shared" si="93"/>
        <v>-7.4504373052279556E-3</v>
      </c>
      <c r="L1017">
        <f t="shared" si="94"/>
        <v>-1.1666608364435182E-2</v>
      </c>
      <c r="M1017">
        <f t="shared" si="95"/>
        <v>-2.1327310119564478E-2</v>
      </c>
    </row>
    <row r="1018" spans="1:13" x14ac:dyDescent="0.2">
      <c r="A1018" s="6">
        <v>44452</v>
      </c>
      <c r="B1018" s="7">
        <v>22.43</v>
      </c>
      <c r="C1018" s="7">
        <v>138.08000000000001</v>
      </c>
      <c r="D1018" s="7">
        <v>355.29</v>
      </c>
      <c r="E1018" s="7">
        <v>172.86</v>
      </c>
      <c r="F1018" s="7">
        <v>43.14</v>
      </c>
      <c r="G1018" s="7">
        <v>296.57</v>
      </c>
      <c r="H1018">
        <f t="shared" si="90"/>
        <v>1.4369353662761958E-2</v>
      </c>
      <c r="I1018">
        <f t="shared" si="91"/>
        <v>-8.9402181626825374E-3</v>
      </c>
      <c r="J1018">
        <f t="shared" si="92"/>
        <v>4.0729351490785277E-2</v>
      </c>
      <c r="K1018">
        <f t="shared" si="93"/>
        <v>2.0847818530777187E-3</v>
      </c>
      <c r="L1018">
        <f t="shared" si="94"/>
        <v>-7.3903338672732183E-3</v>
      </c>
      <c r="M1018">
        <f t="shared" si="95"/>
        <v>-2.660247725816434E-3</v>
      </c>
    </row>
    <row r="1019" spans="1:13" x14ac:dyDescent="0.2">
      <c r="A1019" s="6">
        <v>44449</v>
      </c>
      <c r="B1019" s="7">
        <v>22.13</v>
      </c>
      <c r="C1019" s="7">
        <v>137.77000000000001</v>
      </c>
      <c r="D1019" s="7">
        <v>353.52</v>
      </c>
      <c r="E1019" s="7">
        <v>173.46</v>
      </c>
      <c r="F1019" s="7">
        <v>42.86</v>
      </c>
      <c r="G1019" s="7">
        <v>293.86</v>
      </c>
      <c r="H1019">
        <f t="shared" si="90"/>
        <v>-1.346519446915868E-2</v>
      </c>
      <c r="I1019">
        <f t="shared" si="91"/>
        <v>-2.247599278610212E-3</v>
      </c>
      <c r="J1019">
        <f t="shared" si="92"/>
        <v>-4.9942965790289191E-3</v>
      </c>
      <c r="K1019">
        <f t="shared" si="93"/>
        <v>3.4650069318174848E-3</v>
      </c>
      <c r="L1019">
        <f t="shared" si="94"/>
        <v>-6.5116509155793943E-3</v>
      </c>
      <c r="M1019">
        <f t="shared" si="95"/>
        <v>-9.1798148153800704E-3</v>
      </c>
    </row>
    <row r="1020" spans="1:13" x14ac:dyDescent="0.2">
      <c r="A1020" s="6">
        <v>44448</v>
      </c>
      <c r="B1020" s="7">
        <v>22.29</v>
      </c>
      <c r="C1020" s="7">
        <v>139.84</v>
      </c>
      <c r="D1020" s="7">
        <v>362.49</v>
      </c>
      <c r="E1020" s="7">
        <v>174.21</v>
      </c>
      <c r="F1020" s="7">
        <v>43.28</v>
      </c>
      <c r="G1020" s="7">
        <v>296.91000000000003</v>
      </c>
      <c r="H1020">
        <f t="shared" si="90"/>
        <v>7.2039933348191495E-3</v>
      </c>
      <c r="I1020">
        <f t="shared" si="91"/>
        <v>1.49132838507176E-2</v>
      </c>
      <c r="J1020">
        <f t="shared" si="92"/>
        <v>2.5056826884842027E-2</v>
      </c>
      <c r="K1020">
        <f t="shared" si="93"/>
        <v>4.3144427957585293E-3</v>
      </c>
      <c r="L1020">
        <f t="shared" si="94"/>
        <v>9.7516444927951175E-3</v>
      </c>
      <c r="M1020">
        <f t="shared" si="95"/>
        <v>1.0325599128909287E-2</v>
      </c>
    </row>
    <row r="1021" spans="1:13" x14ac:dyDescent="0.2">
      <c r="A1021" s="6">
        <v>44447</v>
      </c>
      <c r="B1021" s="7">
        <v>22.62</v>
      </c>
      <c r="C1021" s="7">
        <v>142.63</v>
      </c>
      <c r="D1021" s="7">
        <v>370.77</v>
      </c>
      <c r="E1021" s="7">
        <v>176.27</v>
      </c>
      <c r="F1021" s="7">
        <v>44.01</v>
      </c>
      <c r="G1021" s="7">
        <v>295.47000000000003</v>
      </c>
      <c r="H1021">
        <f t="shared" si="90"/>
        <v>1.4696323290197042E-2</v>
      </c>
      <c r="I1021">
        <f t="shared" si="91"/>
        <v>1.9754952628105546E-2</v>
      </c>
      <c r="J1021">
        <f t="shared" si="92"/>
        <v>2.2585036562427246E-2</v>
      </c>
      <c r="K1021">
        <f t="shared" si="93"/>
        <v>1.1755442379793821E-2</v>
      </c>
      <c r="L1021">
        <f t="shared" si="94"/>
        <v>1.6726246284773812E-2</v>
      </c>
      <c r="M1021">
        <f t="shared" si="95"/>
        <v>-4.8617537269887356E-3</v>
      </c>
    </row>
    <row r="1022" spans="1:13" x14ac:dyDescent="0.2">
      <c r="A1022" s="6">
        <v>44446</v>
      </c>
      <c r="B1022" s="7">
        <v>22.8</v>
      </c>
      <c r="C1022" s="7">
        <v>143.44</v>
      </c>
      <c r="D1022" s="7">
        <v>371.63</v>
      </c>
      <c r="E1022" s="7">
        <v>175.46</v>
      </c>
      <c r="F1022" s="7">
        <v>44.35</v>
      </c>
      <c r="G1022" s="7">
        <v>303.27</v>
      </c>
      <c r="H1022">
        <f t="shared" si="90"/>
        <v>7.9260652724207226E-3</v>
      </c>
      <c r="I1022">
        <f t="shared" si="91"/>
        <v>5.6629647615466161E-3</v>
      </c>
      <c r="J1022">
        <f t="shared" si="92"/>
        <v>2.3168113811396799E-3</v>
      </c>
      <c r="K1022">
        <f t="shared" si="93"/>
        <v>-4.6058137316242961E-3</v>
      </c>
      <c r="L1022">
        <f t="shared" si="94"/>
        <v>7.6958279325886163E-3</v>
      </c>
      <c r="M1022">
        <f t="shared" si="95"/>
        <v>2.605618898435513E-2</v>
      </c>
    </row>
    <row r="1023" spans="1:13" x14ac:dyDescent="0.2">
      <c r="A1023" s="6">
        <v>44442</v>
      </c>
      <c r="B1023" s="7">
        <v>22.35</v>
      </c>
      <c r="C1023" s="7">
        <v>141.57</v>
      </c>
      <c r="D1023" s="7">
        <v>374.22</v>
      </c>
      <c r="E1023" s="7">
        <v>173.9</v>
      </c>
      <c r="F1023" s="7">
        <v>44.36</v>
      </c>
      <c r="G1023" s="7">
        <v>300.45</v>
      </c>
      <c r="H1023">
        <f t="shared" si="90"/>
        <v>-1.9934214900817253E-2</v>
      </c>
      <c r="I1023">
        <f t="shared" si="91"/>
        <v>-1.312253489047158E-2</v>
      </c>
      <c r="J1023">
        <f t="shared" si="92"/>
        <v>6.9451241151928488E-3</v>
      </c>
      <c r="K1023">
        <f t="shared" si="93"/>
        <v>-8.9306753400004955E-3</v>
      </c>
      <c r="L1023">
        <f t="shared" si="94"/>
        <v>2.2545372657780744E-4</v>
      </c>
      <c r="M1023">
        <f t="shared" si="95"/>
        <v>-9.3421470541389939E-3</v>
      </c>
    </row>
    <row r="1024" spans="1:13" x14ac:dyDescent="0.2">
      <c r="A1024" s="6">
        <v>44441</v>
      </c>
      <c r="B1024" s="7">
        <v>22.39</v>
      </c>
      <c r="C1024" s="7">
        <v>141.36000000000001</v>
      </c>
      <c r="D1024" s="7">
        <v>374.2</v>
      </c>
      <c r="E1024" s="7">
        <v>173.16</v>
      </c>
      <c r="F1024" s="7">
        <v>44.92</v>
      </c>
      <c r="G1024" s="7">
        <v>307.3</v>
      </c>
      <c r="H1024">
        <f t="shared" si="90"/>
        <v>1.788109551085514E-3</v>
      </c>
      <c r="I1024">
        <f t="shared" si="91"/>
        <v>-1.4844663949646997E-3</v>
      </c>
      <c r="J1024">
        <f t="shared" si="92"/>
        <v>-5.3445926097085501E-5</v>
      </c>
      <c r="K1024">
        <f t="shared" si="93"/>
        <v>-4.2643987864575397E-3</v>
      </c>
      <c r="L1024">
        <f t="shared" si="94"/>
        <v>1.2544967388076264E-2</v>
      </c>
      <c r="M1024">
        <f t="shared" si="95"/>
        <v>2.2543118356502041E-2</v>
      </c>
    </row>
    <row r="1025" spans="1:13" x14ac:dyDescent="0.2">
      <c r="A1025" s="6">
        <v>44439</v>
      </c>
      <c r="B1025" s="7">
        <v>22.34</v>
      </c>
      <c r="C1025" s="7">
        <v>139.91</v>
      </c>
      <c r="D1025" s="7">
        <v>376.37</v>
      </c>
      <c r="E1025" s="7">
        <v>173.95</v>
      </c>
      <c r="F1025" s="7">
        <v>45.21</v>
      </c>
      <c r="G1025" s="7">
        <v>303.77999999999997</v>
      </c>
      <c r="H1025">
        <f t="shared" si="90"/>
        <v>-2.2356369696088681E-3</v>
      </c>
      <c r="I1025">
        <f t="shared" si="91"/>
        <v>-1.0310469266246602E-2</v>
      </c>
      <c r="J1025">
        <f t="shared" si="92"/>
        <v>5.78228825061846E-3</v>
      </c>
      <c r="K1025">
        <f t="shared" si="93"/>
        <v>4.5518790241712258E-3</v>
      </c>
      <c r="L1025">
        <f t="shared" si="94"/>
        <v>6.4351714362712734E-3</v>
      </c>
      <c r="M1025">
        <f t="shared" si="95"/>
        <v>-1.1520713926566293E-2</v>
      </c>
    </row>
    <row r="1026" spans="1:13" x14ac:dyDescent="0.2">
      <c r="A1026" s="6">
        <v>44439</v>
      </c>
      <c r="B1026" s="7">
        <v>22.64</v>
      </c>
      <c r="C1026" s="7">
        <v>142.56</v>
      </c>
      <c r="D1026" s="7">
        <v>375.68</v>
      </c>
      <c r="E1026" s="7">
        <v>173.54</v>
      </c>
      <c r="F1026" s="7">
        <v>45.08</v>
      </c>
      <c r="G1026" s="7">
        <v>302.35000000000002</v>
      </c>
      <c r="H1026">
        <f t="shared" si="90"/>
        <v>1.3339459693927599E-2</v>
      </c>
      <c r="I1026">
        <f t="shared" si="91"/>
        <v>1.8763604977304622E-2</v>
      </c>
      <c r="J1026">
        <f t="shared" si="92"/>
        <v>-1.8349848909307459E-3</v>
      </c>
      <c r="K1026">
        <f t="shared" si="93"/>
        <v>-2.3597812326073154E-3</v>
      </c>
      <c r="L1026">
        <f t="shared" si="94"/>
        <v>-2.8796121349382981E-3</v>
      </c>
      <c r="M1026">
        <f t="shared" si="95"/>
        <v>-4.7184684906507032E-3</v>
      </c>
    </row>
    <row r="1027" spans="1:13" x14ac:dyDescent="0.2">
      <c r="A1027" s="6">
        <v>44438</v>
      </c>
      <c r="B1027" s="7">
        <v>22.59</v>
      </c>
      <c r="C1027" s="7">
        <v>142.71</v>
      </c>
      <c r="D1027" s="7">
        <v>375.26</v>
      </c>
      <c r="E1027" s="7">
        <v>171.08</v>
      </c>
      <c r="F1027" s="7">
        <v>45.06</v>
      </c>
      <c r="G1027" s="7">
        <v>302.37</v>
      </c>
      <c r="H1027">
        <f t="shared" si="90"/>
        <v>-2.2109228550702994E-3</v>
      </c>
      <c r="I1027">
        <f t="shared" si="91"/>
        <v>1.0516353898006551E-3</v>
      </c>
      <c r="J1027">
        <f t="shared" si="92"/>
        <v>-1.1185981404484287E-3</v>
      </c>
      <c r="K1027">
        <f t="shared" si="93"/>
        <v>-1.4276837006635703E-2</v>
      </c>
      <c r="L1027">
        <f t="shared" si="94"/>
        <v>-4.4375416747708833E-4</v>
      </c>
      <c r="M1027">
        <f t="shared" si="95"/>
        <v>6.6146315674376165E-5</v>
      </c>
    </row>
    <row r="1028" spans="1:13" x14ac:dyDescent="0.2">
      <c r="A1028" s="6">
        <v>44435</v>
      </c>
      <c r="B1028" s="7">
        <v>22.02</v>
      </c>
      <c r="C1028" s="7">
        <v>143.29</v>
      </c>
      <c r="D1028" s="7">
        <v>379.84</v>
      </c>
      <c r="E1028" s="7">
        <v>167.48</v>
      </c>
      <c r="F1028" s="7">
        <v>45.16</v>
      </c>
      <c r="G1028" s="7">
        <v>300.83</v>
      </c>
      <c r="H1028">
        <f t="shared" ref="H1028:H1091" si="96">LN(B1028/B1027)</f>
        <v>-2.5556199185377975E-2</v>
      </c>
      <c r="I1028">
        <f t="shared" ref="I1028:I1091" si="97">LN(C1028/C1027)</f>
        <v>4.0559496162116283E-3</v>
      </c>
      <c r="J1028">
        <f t="shared" ref="J1028:J1091" si="98">LN(D1028/D1027)</f>
        <v>1.2130992362074749E-2</v>
      </c>
      <c r="K1028">
        <f t="shared" ref="K1028:K1091" si="99">LN(E1028/E1027)</f>
        <v>-2.126734220776548E-2</v>
      </c>
      <c r="L1028">
        <f t="shared" ref="L1028:L1091" si="100">LN(F1028/F1027)</f>
        <v>2.2168042773626751E-3</v>
      </c>
      <c r="M1028">
        <f t="shared" ref="M1028:M1091" si="101">LN(G1028/G1027)</f>
        <v>-5.1061118897672798E-3</v>
      </c>
    </row>
    <row r="1029" spans="1:13" x14ac:dyDescent="0.2">
      <c r="A1029" s="6">
        <v>44434</v>
      </c>
      <c r="B1029" s="7">
        <v>22.16</v>
      </c>
      <c r="C1029" s="7">
        <v>142.75</v>
      </c>
      <c r="D1029" s="7">
        <v>373.95</v>
      </c>
      <c r="E1029" s="7">
        <v>165.8</v>
      </c>
      <c r="F1029" s="7">
        <v>45.07</v>
      </c>
      <c r="G1029" s="7">
        <v>298.12</v>
      </c>
      <c r="H1029">
        <f t="shared" si="96"/>
        <v>6.3377305845491389E-3</v>
      </c>
      <c r="I1029">
        <f t="shared" si="97"/>
        <v>-3.7757001923917964E-3</v>
      </c>
      <c r="J1029">
        <f t="shared" si="98"/>
        <v>-1.5628012783626594E-2</v>
      </c>
      <c r="K1029">
        <f t="shared" si="99"/>
        <v>-1.0081698449747836E-2</v>
      </c>
      <c r="L1029">
        <f t="shared" si="100"/>
        <v>-1.9949025789042511E-3</v>
      </c>
      <c r="M1029">
        <f t="shared" si="101"/>
        <v>-9.049231131635891E-3</v>
      </c>
    </row>
    <row r="1030" spans="1:13" x14ac:dyDescent="0.2">
      <c r="A1030" s="6">
        <v>44433</v>
      </c>
      <c r="B1030" s="7">
        <v>21.74</v>
      </c>
      <c r="C1030" s="7">
        <v>142.31</v>
      </c>
      <c r="D1030" s="7">
        <v>372.98</v>
      </c>
      <c r="E1030" s="7">
        <v>164.96</v>
      </c>
      <c r="F1030" s="7">
        <v>45.7</v>
      </c>
      <c r="G1030" s="7">
        <v>302.14</v>
      </c>
      <c r="H1030">
        <f t="shared" si="96"/>
        <v>-1.9134980186019723E-2</v>
      </c>
      <c r="I1030">
        <f t="shared" si="97"/>
        <v>-3.0870718405510353E-3</v>
      </c>
      <c r="J1030">
        <f t="shared" si="98"/>
        <v>-2.5972997343761809E-3</v>
      </c>
      <c r="K1030">
        <f t="shared" si="99"/>
        <v>-5.0792224325447981E-3</v>
      </c>
      <c r="L1030">
        <f t="shared" si="100"/>
        <v>1.3881461197602224E-2</v>
      </c>
      <c r="M1030">
        <f t="shared" si="101"/>
        <v>1.339439610208574E-2</v>
      </c>
    </row>
    <row r="1031" spans="1:13" x14ac:dyDescent="0.2">
      <c r="A1031" s="6">
        <v>44432</v>
      </c>
      <c r="B1031" s="7">
        <v>21.91</v>
      </c>
      <c r="C1031" s="7">
        <v>144.22</v>
      </c>
      <c r="D1031" s="7">
        <v>379.71</v>
      </c>
      <c r="E1031" s="7">
        <v>165.29</v>
      </c>
      <c r="F1031" s="7">
        <v>45.79</v>
      </c>
      <c r="G1031" s="7">
        <v>302.79000000000002</v>
      </c>
      <c r="H1031">
        <f t="shared" si="96"/>
        <v>7.7892719143118523E-3</v>
      </c>
      <c r="I1031">
        <f t="shared" si="97"/>
        <v>1.3332134793044776E-2</v>
      </c>
      <c r="J1031">
        <f t="shared" si="98"/>
        <v>1.7883004569166291E-2</v>
      </c>
      <c r="K1031">
        <f t="shared" si="99"/>
        <v>1.9984866606120241E-3</v>
      </c>
      <c r="L1031">
        <f t="shared" si="100"/>
        <v>1.9674287688449094E-3</v>
      </c>
      <c r="M1031">
        <f t="shared" si="101"/>
        <v>2.1490098032990916E-3</v>
      </c>
    </row>
    <row r="1032" spans="1:13" x14ac:dyDescent="0.2">
      <c r="A1032" s="6">
        <v>44431</v>
      </c>
      <c r="B1032" s="7">
        <v>20.77</v>
      </c>
      <c r="C1032" s="7">
        <v>143.71</v>
      </c>
      <c r="D1032" s="7">
        <v>377.06</v>
      </c>
      <c r="E1032" s="7">
        <v>163.29</v>
      </c>
      <c r="F1032" s="7">
        <v>45.64</v>
      </c>
      <c r="G1032" s="7">
        <v>300.07</v>
      </c>
      <c r="H1032">
        <f t="shared" si="96"/>
        <v>-5.3433515719354258E-2</v>
      </c>
      <c r="I1032">
        <f t="shared" si="97"/>
        <v>-3.542531402457901E-3</v>
      </c>
      <c r="J1032">
        <f t="shared" si="98"/>
        <v>-7.003477494029622E-3</v>
      </c>
      <c r="K1032">
        <f t="shared" si="99"/>
        <v>-1.2173745815043688E-2</v>
      </c>
      <c r="L1032">
        <f t="shared" si="100"/>
        <v>-3.2812016751291974E-3</v>
      </c>
      <c r="M1032">
        <f t="shared" si="101"/>
        <v>-9.0237151473318775E-3</v>
      </c>
    </row>
    <row r="1033" spans="1:13" x14ac:dyDescent="0.2">
      <c r="A1033" s="6">
        <v>44428</v>
      </c>
      <c r="B1033" s="7">
        <v>19.75</v>
      </c>
      <c r="C1033" s="7">
        <v>143.6</v>
      </c>
      <c r="D1033" s="7">
        <v>378.33</v>
      </c>
      <c r="E1033" s="7">
        <v>160</v>
      </c>
      <c r="F1033" s="7">
        <v>45.56</v>
      </c>
      <c r="G1033" s="7">
        <v>299.83999999999997</v>
      </c>
      <c r="H1033">
        <f t="shared" si="96"/>
        <v>-5.0356146540890004E-2</v>
      </c>
      <c r="I1033">
        <f t="shared" si="97"/>
        <v>-7.657234720317551E-4</v>
      </c>
      <c r="J1033">
        <f t="shared" si="98"/>
        <v>3.3625046574556057E-3</v>
      </c>
      <c r="K1033">
        <f t="shared" si="99"/>
        <v>-2.0353945880391432E-2</v>
      </c>
      <c r="L1033">
        <f t="shared" si="100"/>
        <v>-1.7543864148934732E-3</v>
      </c>
      <c r="M1033">
        <f t="shared" si="101"/>
        <v>-7.6678172148868153E-4</v>
      </c>
    </row>
    <row r="1034" spans="1:13" x14ac:dyDescent="0.2">
      <c r="A1034" s="6">
        <v>44427</v>
      </c>
      <c r="B1034" s="7">
        <v>19</v>
      </c>
      <c r="C1034" s="7">
        <v>143.02000000000001</v>
      </c>
      <c r="D1034" s="7">
        <v>370.35</v>
      </c>
      <c r="E1034" s="7">
        <v>159.38999999999999</v>
      </c>
      <c r="F1034" s="7">
        <v>45.8</v>
      </c>
      <c r="G1034" s="7">
        <v>301.94</v>
      </c>
      <c r="H1034">
        <f t="shared" si="96"/>
        <v>-3.8714512180690393E-2</v>
      </c>
      <c r="I1034">
        <f t="shared" si="97"/>
        <v>-4.0471759938737655E-3</v>
      </c>
      <c r="J1034">
        <f t="shared" si="98"/>
        <v>-2.131832617659455E-2</v>
      </c>
      <c r="K1034">
        <f t="shared" si="99"/>
        <v>-3.8197861028654747E-3</v>
      </c>
      <c r="L1034">
        <f t="shared" si="100"/>
        <v>5.253952541157729E-3</v>
      </c>
      <c r="M1034">
        <f t="shared" si="101"/>
        <v>6.9793230895326946E-3</v>
      </c>
    </row>
    <row r="1035" spans="1:13" x14ac:dyDescent="0.2">
      <c r="A1035" s="6">
        <v>44426</v>
      </c>
      <c r="B1035" s="7">
        <v>19.41</v>
      </c>
      <c r="C1035" s="7">
        <v>140.47</v>
      </c>
      <c r="D1035" s="7">
        <v>362.15</v>
      </c>
      <c r="E1035" s="7">
        <v>160.06</v>
      </c>
      <c r="F1035" s="7">
        <v>46.07</v>
      </c>
      <c r="G1035" s="7">
        <v>298.79000000000002</v>
      </c>
      <c r="H1035">
        <f t="shared" si="96"/>
        <v>2.1349418014478514E-2</v>
      </c>
      <c r="I1035">
        <f t="shared" si="97"/>
        <v>-1.7990537777431526E-2</v>
      </c>
      <c r="J1035">
        <f t="shared" si="98"/>
        <v>-2.2390013817963267E-2</v>
      </c>
      <c r="K1035">
        <f t="shared" si="99"/>
        <v>4.1947158079386655E-3</v>
      </c>
      <c r="L1035">
        <f t="shared" si="100"/>
        <v>5.877887827686468E-3</v>
      </c>
      <c r="M1035">
        <f t="shared" si="101"/>
        <v>-1.0487336643108861E-2</v>
      </c>
    </row>
    <row r="1036" spans="1:13" x14ac:dyDescent="0.2">
      <c r="A1036" s="6">
        <v>44425</v>
      </c>
      <c r="B1036" s="7">
        <v>19.91</v>
      </c>
      <c r="C1036" s="7">
        <v>141.11000000000001</v>
      </c>
      <c r="D1036" s="7">
        <v>366.13</v>
      </c>
      <c r="E1036" s="7">
        <v>162.1</v>
      </c>
      <c r="F1036" s="7">
        <v>46.23</v>
      </c>
      <c r="G1036" s="7">
        <v>298.63</v>
      </c>
      <c r="H1036">
        <f t="shared" si="96"/>
        <v>2.5433720895185936E-2</v>
      </c>
      <c r="I1036">
        <f t="shared" si="97"/>
        <v>4.5457852268509678E-3</v>
      </c>
      <c r="J1036">
        <f t="shared" si="98"/>
        <v>1.0929970951380394E-2</v>
      </c>
      <c r="K1036">
        <f t="shared" si="99"/>
        <v>1.266468380273033E-2</v>
      </c>
      <c r="L1036">
        <f t="shared" si="100"/>
        <v>3.4669590523083364E-3</v>
      </c>
      <c r="M1036">
        <f t="shared" si="101"/>
        <v>-5.3563658339342963E-4</v>
      </c>
    </row>
    <row r="1037" spans="1:13" x14ac:dyDescent="0.2">
      <c r="A1037" s="6">
        <v>44424</v>
      </c>
      <c r="B1037" s="7">
        <v>20.14</v>
      </c>
      <c r="C1037" s="7">
        <v>140.29</v>
      </c>
      <c r="D1037" s="7">
        <v>363.27</v>
      </c>
      <c r="E1037" s="7">
        <v>164.95</v>
      </c>
      <c r="F1037" s="7">
        <v>46.56</v>
      </c>
      <c r="G1037" s="7">
        <v>298.45999999999998</v>
      </c>
      <c r="H1037">
        <f t="shared" si="96"/>
        <v>1.1485769214311313E-2</v>
      </c>
      <c r="I1037">
        <f t="shared" si="97"/>
        <v>-5.8280193389884999E-3</v>
      </c>
      <c r="J1037">
        <f t="shared" si="98"/>
        <v>-7.8421021583309474E-3</v>
      </c>
      <c r="K1037">
        <f t="shared" si="99"/>
        <v>1.7428968932959976E-2</v>
      </c>
      <c r="L1037">
        <f t="shared" si="100"/>
        <v>7.1128654230485115E-3</v>
      </c>
      <c r="M1037">
        <f t="shared" si="101"/>
        <v>-5.6942840976582996E-4</v>
      </c>
    </row>
    <row r="1038" spans="1:13" x14ac:dyDescent="0.2">
      <c r="A1038" s="6">
        <v>44421</v>
      </c>
      <c r="B1038" s="7">
        <v>19.86</v>
      </c>
      <c r="C1038" s="7">
        <v>139.08000000000001</v>
      </c>
      <c r="D1038" s="7">
        <v>361.12</v>
      </c>
      <c r="E1038" s="7">
        <v>164.7</v>
      </c>
      <c r="F1038" s="7">
        <v>46.5</v>
      </c>
      <c r="G1038" s="7">
        <v>296.08999999999997</v>
      </c>
      <c r="H1038">
        <f t="shared" si="96"/>
        <v>-1.4000228673389752E-2</v>
      </c>
      <c r="I1038">
        <f t="shared" si="97"/>
        <v>-8.6624015910201895E-3</v>
      </c>
      <c r="J1038">
        <f t="shared" si="98"/>
        <v>-5.9360463651590319E-3</v>
      </c>
      <c r="K1038">
        <f t="shared" si="99"/>
        <v>-1.5167604909957716E-3</v>
      </c>
      <c r="L1038">
        <f t="shared" si="100"/>
        <v>-1.2894908298717507E-3</v>
      </c>
      <c r="M1038">
        <f t="shared" si="101"/>
        <v>-7.9724583402737258E-3</v>
      </c>
    </row>
    <row r="1039" spans="1:13" x14ac:dyDescent="0.2">
      <c r="A1039" s="6">
        <v>44420</v>
      </c>
      <c r="B1039" s="7">
        <v>19.66</v>
      </c>
      <c r="C1039" s="7">
        <v>136.49</v>
      </c>
      <c r="D1039" s="7">
        <v>357.17</v>
      </c>
      <c r="E1039" s="7">
        <v>165.18</v>
      </c>
      <c r="F1039" s="7">
        <v>47.13</v>
      </c>
      <c r="G1039" s="7">
        <v>297.33999999999997</v>
      </c>
      <c r="H1039">
        <f t="shared" si="96"/>
        <v>-1.0121543898005993E-2</v>
      </c>
      <c r="I1039">
        <f t="shared" si="97"/>
        <v>-1.8797955271556588E-2</v>
      </c>
      <c r="J1039">
        <f t="shared" si="98"/>
        <v>-1.099845415610042E-2</v>
      </c>
      <c r="K1039">
        <f t="shared" si="99"/>
        <v>2.9101511989763702E-3</v>
      </c>
      <c r="L1039">
        <f t="shared" si="100"/>
        <v>1.3457428342328962E-2</v>
      </c>
      <c r="M1039">
        <f t="shared" si="101"/>
        <v>4.212803022156552E-3</v>
      </c>
    </row>
    <row r="1040" spans="1:13" x14ac:dyDescent="0.2">
      <c r="A1040" s="6">
        <v>44419</v>
      </c>
      <c r="B1040" s="7">
        <v>19.89</v>
      </c>
      <c r="C1040" s="7">
        <v>134.75</v>
      </c>
      <c r="D1040" s="7">
        <v>352.94</v>
      </c>
      <c r="E1040" s="7">
        <v>164.61</v>
      </c>
      <c r="F1040" s="7">
        <v>46.91</v>
      </c>
      <c r="G1040" s="7">
        <v>295</v>
      </c>
      <c r="H1040">
        <f t="shared" si="96"/>
        <v>1.163097814686042E-2</v>
      </c>
      <c r="I1040">
        <f t="shared" si="97"/>
        <v>-1.2830142078997639E-2</v>
      </c>
      <c r="J1040">
        <f t="shared" si="98"/>
        <v>-1.191378809803811E-2</v>
      </c>
      <c r="K1040">
        <f t="shared" si="99"/>
        <v>-3.4567486435772123E-3</v>
      </c>
      <c r="L1040">
        <f t="shared" si="100"/>
        <v>-4.6788685952729543E-3</v>
      </c>
      <c r="M1040">
        <f t="shared" si="101"/>
        <v>-7.9009088453847777E-3</v>
      </c>
    </row>
    <row r="1041" spans="1:13" x14ac:dyDescent="0.2">
      <c r="A1041" s="6">
        <v>44417</v>
      </c>
      <c r="B1041" s="7">
        <v>20.32</v>
      </c>
      <c r="C1041" s="7">
        <v>135.72999999999999</v>
      </c>
      <c r="D1041" s="7">
        <v>356.25</v>
      </c>
      <c r="E1041" s="7">
        <v>167.09</v>
      </c>
      <c r="F1041" s="7">
        <v>46.76</v>
      </c>
      <c r="G1041" s="7">
        <v>291.31</v>
      </c>
      <c r="H1041">
        <f t="shared" si="96"/>
        <v>2.1388529844400237E-2</v>
      </c>
      <c r="I1041">
        <f t="shared" si="97"/>
        <v>7.246408520767033E-3</v>
      </c>
      <c r="J1041">
        <f t="shared" si="98"/>
        <v>9.3346607677732216E-3</v>
      </c>
      <c r="K1041">
        <f t="shared" si="99"/>
        <v>1.4953549667058258E-2</v>
      </c>
      <c r="L1041">
        <f t="shared" si="100"/>
        <v>-3.2027357364989737E-3</v>
      </c>
      <c r="M1041">
        <f t="shared" si="101"/>
        <v>-1.2587364093072888E-2</v>
      </c>
    </row>
    <row r="1042" spans="1:13" x14ac:dyDescent="0.2">
      <c r="A1042" s="6">
        <v>44414</v>
      </c>
      <c r="B1042" s="7">
        <v>20.59</v>
      </c>
      <c r="C1042" s="7">
        <v>137.36000000000001</v>
      </c>
      <c r="D1042" s="7">
        <v>364.31</v>
      </c>
      <c r="E1042" s="7">
        <v>167.25</v>
      </c>
      <c r="F1042" s="7">
        <v>46.64</v>
      </c>
      <c r="G1042" s="7">
        <v>292.11</v>
      </c>
      <c r="H1042">
        <f t="shared" si="96"/>
        <v>1.3199898329417025E-2</v>
      </c>
      <c r="I1042">
        <f t="shared" si="97"/>
        <v>1.1937598279346496E-2</v>
      </c>
      <c r="J1042">
        <f t="shared" si="98"/>
        <v>2.2372421958841447E-2</v>
      </c>
      <c r="K1042">
        <f t="shared" si="99"/>
        <v>9.5710960228569402E-4</v>
      </c>
      <c r="L1042">
        <f t="shared" si="100"/>
        <v>-2.5695945616306497E-3</v>
      </c>
      <c r="M1042">
        <f t="shared" si="101"/>
        <v>2.7424514120277508E-3</v>
      </c>
    </row>
    <row r="1043" spans="1:13" x14ac:dyDescent="0.2">
      <c r="A1043" s="6">
        <v>44413</v>
      </c>
      <c r="B1043" s="7">
        <v>20.23</v>
      </c>
      <c r="C1043" s="7">
        <v>136.78</v>
      </c>
      <c r="D1043" s="7">
        <v>360.95</v>
      </c>
      <c r="E1043" s="7">
        <v>168.8</v>
      </c>
      <c r="F1043" s="7">
        <v>46.27</v>
      </c>
      <c r="G1043" s="7">
        <v>292.93</v>
      </c>
      <c r="H1043">
        <f t="shared" si="96"/>
        <v>-1.7638869860043978E-2</v>
      </c>
      <c r="I1043">
        <f t="shared" si="97"/>
        <v>-4.2314209192702264E-3</v>
      </c>
      <c r="J1043">
        <f t="shared" si="98"/>
        <v>-9.2657089565317714E-3</v>
      </c>
      <c r="K1043">
        <f t="shared" si="99"/>
        <v>9.2248831535190375E-3</v>
      </c>
      <c r="L1043">
        <f t="shared" si="100"/>
        <v>-7.9647391233286444E-3</v>
      </c>
      <c r="M1043">
        <f t="shared" si="101"/>
        <v>2.8032289654369253E-3</v>
      </c>
    </row>
    <row r="1044" spans="1:13" x14ac:dyDescent="0.2">
      <c r="A1044" s="6">
        <v>44412</v>
      </c>
      <c r="B1044" s="7">
        <v>19.77</v>
      </c>
      <c r="C1044" s="7">
        <v>136.25</v>
      </c>
      <c r="D1044" s="7">
        <v>360.43</v>
      </c>
      <c r="E1044" s="7">
        <v>167.74</v>
      </c>
      <c r="F1044" s="7">
        <v>46.53</v>
      </c>
      <c r="G1044" s="7">
        <v>289.60000000000002</v>
      </c>
      <c r="H1044">
        <f t="shared" si="96"/>
        <v>-2.300101399712862E-2</v>
      </c>
      <c r="I1044">
        <f t="shared" si="97"/>
        <v>-3.8823621265965335E-3</v>
      </c>
      <c r="J1044">
        <f t="shared" si="98"/>
        <v>-1.4416814718066569E-3</v>
      </c>
      <c r="K1044">
        <f t="shared" si="99"/>
        <v>-6.2994206055912516E-3</v>
      </c>
      <c r="L1044">
        <f t="shared" si="100"/>
        <v>5.6034629376489143E-3</v>
      </c>
      <c r="M1044">
        <f t="shared" si="101"/>
        <v>-1.1433012112650045E-2</v>
      </c>
    </row>
    <row r="1045" spans="1:13" x14ac:dyDescent="0.2">
      <c r="A1045" s="6">
        <v>44411</v>
      </c>
      <c r="B1045" s="7">
        <v>19.71</v>
      </c>
      <c r="C1045" s="7">
        <v>135.35</v>
      </c>
      <c r="D1045" s="7">
        <v>357.75</v>
      </c>
      <c r="E1045" s="7">
        <v>168.31</v>
      </c>
      <c r="F1045" s="7">
        <v>47.04</v>
      </c>
      <c r="G1045" s="7">
        <v>287.89999999999998</v>
      </c>
      <c r="H1045">
        <f t="shared" si="96"/>
        <v>-3.0395160178965925E-3</v>
      </c>
      <c r="I1045">
        <f t="shared" si="97"/>
        <v>-6.6274174830433337E-3</v>
      </c>
      <c r="J1045">
        <f t="shared" si="98"/>
        <v>-7.4633446768030366E-3</v>
      </c>
      <c r="K1045">
        <f t="shared" si="99"/>
        <v>3.392355581809454E-3</v>
      </c>
      <c r="L1045">
        <f t="shared" si="100"/>
        <v>1.0901037733814321E-2</v>
      </c>
      <c r="M1045">
        <f t="shared" si="101"/>
        <v>-5.887462893431286E-3</v>
      </c>
    </row>
    <row r="1046" spans="1:13" x14ac:dyDescent="0.2">
      <c r="A1046" s="6">
        <v>44410</v>
      </c>
      <c r="B1046" s="7">
        <v>19.46</v>
      </c>
      <c r="C1046" s="7">
        <v>135.87</v>
      </c>
      <c r="D1046" s="7">
        <v>358.92</v>
      </c>
      <c r="E1046" s="7">
        <v>166.57</v>
      </c>
      <c r="F1046" s="7">
        <v>47.02</v>
      </c>
      <c r="G1046" s="7">
        <v>290.05</v>
      </c>
      <c r="H1046">
        <f t="shared" si="96"/>
        <v>-1.2765044406769887E-2</v>
      </c>
      <c r="I1046">
        <f t="shared" si="97"/>
        <v>3.8345301759220214E-3</v>
      </c>
      <c r="J1046">
        <f t="shared" si="98"/>
        <v>3.2651039932967622E-3</v>
      </c>
      <c r="K1046">
        <f t="shared" si="99"/>
        <v>-1.0391875649058475E-2</v>
      </c>
      <c r="L1046">
        <f t="shared" si="100"/>
        <v>-4.2526047844793199E-4</v>
      </c>
      <c r="M1046">
        <f t="shared" si="101"/>
        <v>7.4401242939432597E-3</v>
      </c>
    </row>
    <row r="1047" spans="1:13" x14ac:dyDescent="0.2">
      <c r="A1047" s="6">
        <v>44407</v>
      </c>
      <c r="B1047" s="7">
        <v>19.62</v>
      </c>
      <c r="C1047" s="7">
        <v>135.97999999999999</v>
      </c>
      <c r="D1047" s="7">
        <v>359.39</v>
      </c>
      <c r="E1047" s="7">
        <v>166.38</v>
      </c>
      <c r="F1047" s="7">
        <v>47.51</v>
      </c>
      <c r="G1047" s="7">
        <v>290.95999999999998</v>
      </c>
      <c r="H1047">
        <f t="shared" si="96"/>
        <v>8.188377379358033E-3</v>
      </c>
      <c r="I1047">
        <f t="shared" si="97"/>
        <v>8.092698620811937E-4</v>
      </c>
      <c r="J1047">
        <f t="shared" si="98"/>
        <v>1.3086273811393912E-3</v>
      </c>
      <c r="K1047">
        <f t="shared" si="99"/>
        <v>-1.1413126332746918E-3</v>
      </c>
      <c r="L1047">
        <f t="shared" si="100"/>
        <v>1.0367172086906431E-2</v>
      </c>
      <c r="M1047">
        <f t="shared" si="101"/>
        <v>3.1324787666601041E-3</v>
      </c>
    </row>
    <row r="1048" spans="1:13" x14ac:dyDescent="0.2">
      <c r="A1048" s="6">
        <v>44406</v>
      </c>
      <c r="B1048" s="7">
        <v>19.46</v>
      </c>
      <c r="C1048" s="7">
        <v>134.81</v>
      </c>
      <c r="D1048" s="7">
        <v>361.28</v>
      </c>
      <c r="E1048" s="7">
        <v>180</v>
      </c>
      <c r="F1048" s="7">
        <v>47.82</v>
      </c>
      <c r="G1048" s="7">
        <v>293.51</v>
      </c>
      <c r="H1048">
        <f t="shared" si="96"/>
        <v>-8.188377379358033E-3</v>
      </c>
      <c r="I1048">
        <f t="shared" si="97"/>
        <v>-8.6414363953408041E-3</v>
      </c>
      <c r="J1048">
        <f t="shared" si="98"/>
        <v>5.2451311503008014E-3</v>
      </c>
      <c r="K1048">
        <f t="shared" si="99"/>
        <v>7.8682522034468794E-2</v>
      </c>
      <c r="L1048">
        <f t="shared" si="100"/>
        <v>6.5037468313486752E-3</v>
      </c>
      <c r="M1048">
        <f t="shared" si="101"/>
        <v>8.7259095592511424E-3</v>
      </c>
    </row>
    <row r="1049" spans="1:13" x14ac:dyDescent="0.2">
      <c r="A1049" s="6">
        <v>44405</v>
      </c>
      <c r="B1049" s="7">
        <v>19.170000000000002</v>
      </c>
      <c r="C1049" s="7">
        <v>135.32</v>
      </c>
      <c r="D1049" s="7">
        <v>360.75</v>
      </c>
      <c r="E1049" s="7">
        <v>181.52</v>
      </c>
      <c r="F1049" s="7">
        <v>47.4</v>
      </c>
      <c r="G1049" s="7">
        <v>294.85000000000002</v>
      </c>
      <c r="H1049">
        <f t="shared" si="96"/>
        <v>-1.5014519700305814E-2</v>
      </c>
      <c r="I1049">
        <f t="shared" si="97"/>
        <v>3.7759642095349143E-3</v>
      </c>
      <c r="J1049">
        <f t="shared" si="98"/>
        <v>-1.4680833073168298E-3</v>
      </c>
      <c r="K1049">
        <f t="shared" si="99"/>
        <v>8.4089895813759426E-3</v>
      </c>
      <c r="L1049">
        <f t="shared" si="100"/>
        <v>-8.8217333291478756E-3</v>
      </c>
      <c r="M1049">
        <f t="shared" si="101"/>
        <v>4.5550422085285491E-3</v>
      </c>
    </row>
    <row r="1050" spans="1:13" x14ac:dyDescent="0.2">
      <c r="A1050" s="6">
        <v>44404</v>
      </c>
      <c r="B1050" s="7">
        <v>19.25</v>
      </c>
      <c r="C1050" s="7">
        <v>134.19999999999999</v>
      </c>
      <c r="D1050" s="7">
        <v>356.72</v>
      </c>
      <c r="E1050" s="7">
        <v>181.32</v>
      </c>
      <c r="F1050" s="7">
        <v>47.08</v>
      </c>
      <c r="G1050" s="7">
        <v>289.17</v>
      </c>
      <c r="H1050">
        <f t="shared" si="96"/>
        <v>4.1645036762400153E-3</v>
      </c>
      <c r="I1050">
        <f t="shared" si="97"/>
        <v>-8.3111193749262988E-3</v>
      </c>
      <c r="J1050">
        <f t="shared" si="98"/>
        <v>-1.1234037334758926E-2</v>
      </c>
      <c r="K1050">
        <f t="shared" si="99"/>
        <v>-1.102414398937872E-3</v>
      </c>
      <c r="L1050">
        <f t="shared" si="100"/>
        <v>-6.7739463089548048E-3</v>
      </c>
      <c r="M1050">
        <f t="shared" si="101"/>
        <v>-1.9452001982526678E-2</v>
      </c>
    </row>
    <row r="1051" spans="1:13" x14ac:dyDescent="0.2">
      <c r="A1051" s="6">
        <v>44403</v>
      </c>
      <c r="B1051" s="7">
        <v>19.510000000000002</v>
      </c>
      <c r="C1051" s="7">
        <v>134.69999999999999</v>
      </c>
      <c r="D1051" s="7">
        <v>349.09</v>
      </c>
      <c r="E1051" s="7">
        <v>184.99</v>
      </c>
      <c r="F1051" s="7">
        <v>47.59</v>
      </c>
      <c r="G1051" s="7">
        <v>287.95999999999998</v>
      </c>
      <c r="H1051">
        <f t="shared" si="96"/>
        <v>1.3416093901226792E-2</v>
      </c>
      <c r="I1051">
        <f t="shared" si="97"/>
        <v>3.7188588787369771E-3</v>
      </c>
      <c r="J1051">
        <f t="shared" si="98"/>
        <v>-2.1621391705876829E-2</v>
      </c>
      <c r="K1051">
        <f t="shared" si="99"/>
        <v>2.003834349064941E-2</v>
      </c>
      <c r="L1051">
        <f t="shared" si="100"/>
        <v>1.0774372740943122E-2</v>
      </c>
      <c r="M1051">
        <f t="shared" si="101"/>
        <v>-4.1931688628844789E-3</v>
      </c>
    </row>
    <row r="1052" spans="1:13" x14ac:dyDescent="0.2">
      <c r="A1052" s="6">
        <v>44400</v>
      </c>
      <c r="B1052" s="7">
        <v>19.55</v>
      </c>
      <c r="C1052" s="7">
        <v>133.93</v>
      </c>
      <c r="D1052" s="7">
        <v>349.79</v>
      </c>
      <c r="E1052" s="7">
        <v>182.83</v>
      </c>
      <c r="F1052" s="7">
        <v>47.6</v>
      </c>
      <c r="G1052" s="7">
        <v>287.25</v>
      </c>
      <c r="H1052">
        <f t="shared" si="96"/>
        <v>2.048131796354929E-3</v>
      </c>
      <c r="I1052">
        <f t="shared" si="97"/>
        <v>-5.7328080172873814E-3</v>
      </c>
      <c r="J1052">
        <f t="shared" si="98"/>
        <v>2.0032057980825775E-3</v>
      </c>
      <c r="K1052">
        <f t="shared" si="99"/>
        <v>-1.1745010222884216E-2</v>
      </c>
      <c r="L1052">
        <f t="shared" si="100"/>
        <v>2.101061043550855E-4</v>
      </c>
      <c r="M1052">
        <f t="shared" si="101"/>
        <v>-2.4686648722370033E-3</v>
      </c>
    </row>
    <row r="1053" spans="1:13" x14ac:dyDescent="0.2">
      <c r="A1053" s="6">
        <v>44399</v>
      </c>
      <c r="B1053" s="7">
        <v>19.37</v>
      </c>
      <c r="C1053" s="7">
        <v>133.80000000000001</v>
      </c>
      <c r="D1053" s="7">
        <v>354.12</v>
      </c>
      <c r="E1053" s="7">
        <v>181.9</v>
      </c>
      <c r="F1053" s="7">
        <v>47.22</v>
      </c>
      <c r="G1053" s="7">
        <v>300.05</v>
      </c>
      <c r="H1053">
        <f t="shared" si="96"/>
        <v>-9.2498090124702934E-3</v>
      </c>
      <c r="I1053">
        <f t="shared" si="97"/>
        <v>-9.7112770490266143E-4</v>
      </c>
      <c r="J1053">
        <f t="shared" si="98"/>
        <v>1.230286433142143E-2</v>
      </c>
      <c r="K1053">
        <f t="shared" si="99"/>
        <v>-5.0996738163369805E-3</v>
      </c>
      <c r="L1053">
        <f t="shared" si="100"/>
        <v>-8.0152295800075442E-3</v>
      </c>
      <c r="M1053">
        <f t="shared" si="101"/>
        <v>4.3596210706656764E-2</v>
      </c>
    </row>
    <row r="1054" spans="1:13" x14ac:dyDescent="0.2">
      <c r="A1054" s="6">
        <v>44397</v>
      </c>
      <c r="B1054" s="7">
        <v>18.739999999999998</v>
      </c>
      <c r="C1054" s="7">
        <v>135.16</v>
      </c>
      <c r="D1054" s="7">
        <v>370.99</v>
      </c>
      <c r="E1054" s="7">
        <v>178.66</v>
      </c>
      <c r="F1054" s="7">
        <v>47.07</v>
      </c>
      <c r="G1054" s="7">
        <v>299.13</v>
      </c>
      <c r="H1054">
        <f t="shared" si="96"/>
        <v>-3.3065200608628463E-2</v>
      </c>
      <c r="I1054">
        <f t="shared" si="97"/>
        <v>1.0113114151960902E-2</v>
      </c>
      <c r="J1054">
        <f t="shared" si="98"/>
        <v>4.6539269323418821E-2</v>
      </c>
      <c r="K1054">
        <f t="shared" si="99"/>
        <v>-1.7972527250383563E-2</v>
      </c>
      <c r="L1054">
        <f t="shared" si="100"/>
        <v>-3.1816762443159299E-3</v>
      </c>
      <c r="M1054">
        <f t="shared" si="101"/>
        <v>-3.0708659267107163E-3</v>
      </c>
    </row>
    <row r="1055" spans="1:13" x14ac:dyDescent="0.2">
      <c r="A1055" s="6">
        <v>44396</v>
      </c>
      <c r="B1055" s="7">
        <v>18.12</v>
      </c>
      <c r="C1055" s="7">
        <v>131</v>
      </c>
      <c r="D1055" s="7">
        <v>365.56</v>
      </c>
      <c r="E1055" s="7">
        <v>177.48</v>
      </c>
      <c r="F1055" s="7">
        <v>47.19</v>
      </c>
      <c r="G1055" s="7">
        <v>301.8</v>
      </c>
      <c r="H1055">
        <f t="shared" si="96"/>
        <v>-3.3643976195442724E-2</v>
      </c>
      <c r="I1055">
        <f t="shared" si="97"/>
        <v>-3.1261938644937648E-2</v>
      </c>
      <c r="J1055">
        <f t="shared" si="98"/>
        <v>-1.4744683662266349E-2</v>
      </c>
      <c r="K1055">
        <f t="shared" si="99"/>
        <v>-6.6266317629843389E-3</v>
      </c>
      <c r="L1055">
        <f t="shared" si="100"/>
        <v>2.5461503252452093E-3</v>
      </c>
      <c r="M1055">
        <f t="shared" si="101"/>
        <v>8.8862848249374269E-3</v>
      </c>
    </row>
    <row r="1056" spans="1:13" x14ac:dyDescent="0.2">
      <c r="A1056" s="6">
        <v>44393</v>
      </c>
      <c r="B1056" s="7">
        <v>18.920000000000002</v>
      </c>
      <c r="C1056" s="7">
        <v>133.12</v>
      </c>
      <c r="D1056" s="7">
        <v>370.18</v>
      </c>
      <c r="E1056" s="7">
        <v>178.68</v>
      </c>
      <c r="F1056" s="7">
        <v>46.78</v>
      </c>
      <c r="G1056" s="7">
        <v>296.86</v>
      </c>
      <c r="H1056">
        <f t="shared" si="96"/>
        <v>4.320326300889895E-2</v>
      </c>
      <c r="I1056">
        <f t="shared" si="97"/>
        <v>1.6053653871746985E-2</v>
      </c>
      <c r="J1056">
        <f t="shared" si="98"/>
        <v>1.2558949424569676E-2</v>
      </c>
      <c r="K1056">
        <f t="shared" si="99"/>
        <v>6.7385699732092691E-3</v>
      </c>
      <c r="L1056">
        <f t="shared" si="100"/>
        <v>-8.7262445822631485E-3</v>
      </c>
      <c r="M1056">
        <f t="shared" si="101"/>
        <v>-1.6503899137129609E-2</v>
      </c>
    </row>
    <row r="1057" spans="1:13" x14ac:dyDescent="0.2">
      <c r="A1057" s="6">
        <v>44392</v>
      </c>
      <c r="B1057" s="7">
        <v>19.8</v>
      </c>
      <c r="C1057" s="7">
        <v>132.1</v>
      </c>
      <c r="D1057" s="7">
        <v>367.52</v>
      </c>
      <c r="E1057" s="7">
        <v>181.56</v>
      </c>
      <c r="F1057" s="7">
        <v>45.8</v>
      </c>
      <c r="G1057" s="7">
        <v>294.42</v>
      </c>
      <c r="H1057">
        <f t="shared" si="96"/>
        <v>4.5462374076757198E-2</v>
      </c>
      <c r="I1057">
        <f t="shared" si="97"/>
        <v>-7.6917655446189052E-3</v>
      </c>
      <c r="J1057">
        <f t="shared" si="98"/>
        <v>-7.211634887782533E-3</v>
      </c>
      <c r="K1057">
        <f t="shared" si="99"/>
        <v>1.5989681104346905E-2</v>
      </c>
      <c r="L1057">
        <f t="shared" si="100"/>
        <v>-2.1171670035893812E-2</v>
      </c>
      <c r="M1057">
        <f t="shared" si="101"/>
        <v>-8.2533278667518695E-3</v>
      </c>
    </row>
    <row r="1058" spans="1:13" x14ac:dyDescent="0.2">
      <c r="A1058" s="6">
        <v>44391</v>
      </c>
      <c r="B1058" s="7">
        <v>20.2</v>
      </c>
      <c r="C1058" s="7">
        <v>127.54</v>
      </c>
      <c r="D1058" s="7">
        <v>349.04</v>
      </c>
      <c r="E1058" s="7">
        <v>184.08</v>
      </c>
      <c r="F1058" s="7">
        <v>45.69</v>
      </c>
      <c r="G1058" s="7">
        <v>295.39</v>
      </c>
      <c r="H1058">
        <f t="shared" si="96"/>
        <v>2.0000666706669435E-2</v>
      </c>
      <c r="I1058">
        <f t="shared" si="97"/>
        <v>-3.5129170641153944E-2</v>
      </c>
      <c r="J1058">
        <f t="shared" si="98"/>
        <v>-5.1591210125433801E-2</v>
      </c>
      <c r="K1058">
        <f t="shared" si="99"/>
        <v>1.3784268138845701E-2</v>
      </c>
      <c r="L1058">
        <f t="shared" si="100"/>
        <v>-2.4046355449591065E-3</v>
      </c>
      <c r="M1058">
        <f t="shared" si="101"/>
        <v>3.2891977908860565E-3</v>
      </c>
    </row>
    <row r="1059" spans="1:13" x14ac:dyDescent="0.2">
      <c r="A1059" s="6">
        <v>44390</v>
      </c>
      <c r="B1059" s="7">
        <v>20.47</v>
      </c>
      <c r="C1059" s="7">
        <v>126.68</v>
      </c>
      <c r="D1059" s="7">
        <v>344.11</v>
      </c>
      <c r="E1059" s="7">
        <v>183.87</v>
      </c>
      <c r="F1059" s="7">
        <v>45.77</v>
      </c>
      <c r="G1059" s="7">
        <v>298.32</v>
      </c>
      <c r="H1059">
        <f t="shared" si="96"/>
        <v>1.3277795266039097E-2</v>
      </c>
      <c r="I1059">
        <f t="shared" si="97"/>
        <v>-6.7658192166865257E-3</v>
      </c>
      <c r="J1059">
        <f t="shared" si="98"/>
        <v>-1.4225155114807533E-2</v>
      </c>
      <c r="K1059">
        <f t="shared" si="99"/>
        <v>-1.1414595613603541E-3</v>
      </c>
      <c r="L1059">
        <f t="shared" si="100"/>
        <v>1.7493990903707491E-3</v>
      </c>
      <c r="M1059">
        <f t="shared" si="101"/>
        <v>9.8702187498120875E-3</v>
      </c>
    </row>
    <row r="1060" spans="1:13" x14ac:dyDescent="0.2">
      <c r="A1060" s="6">
        <v>44389</v>
      </c>
      <c r="B1060" s="7">
        <v>20.010000000000002</v>
      </c>
      <c r="C1060" s="7">
        <v>125.34</v>
      </c>
      <c r="D1060" s="7">
        <v>339.57</v>
      </c>
      <c r="E1060" s="7">
        <v>185.93</v>
      </c>
      <c r="F1060" s="7">
        <v>44.94</v>
      </c>
      <c r="G1060" s="7">
        <v>295.81</v>
      </c>
      <c r="H1060">
        <f t="shared" si="96"/>
        <v>-2.2728251077555949E-2</v>
      </c>
      <c r="I1060">
        <f t="shared" si="97"/>
        <v>-1.0634176873909643E-2</v>
      </c>
      <c r="J1060">
        <f t="shared" si="98"/>
        <v>-1.3281262388108186E-2</v>
      </c>
      <c r="K1060">
        <f t="shared" si="99"/>
        <v>1.1141272626221218E-2</v>
      </c>
      <c r="L1060">
        <f t="shared" si="100"/>
        <v>-1.8300587908367708E-2</v>
      </c>
      <c r="M1060">
        <f t="shared" si="101"/>
        <v>-8.449379539198278E-3</v>
      </c>
    </row>
    <row r="1061" spans="1:13" x14ac:dyDescent="0.2">
      <c r="A1061" s="6">
        <v>44386</v>
      </c>
      <c r="B1061" s="7">
        <v>19.86</v>
      </c>
      <c r="C1061" s="7">
        <v>123.72</v>
      </c>
      <c r="D1061" s="7">
        <v>334.89</v>
      </c>
      <c r="E1061" s="7">
        <v>185.97</v>
      </c>
      <c r="F1061" s="7">
        <v>45.25</v>
      </c>
      <c r="G1061" s="7">
        <v>297.27</v>
      </c>
      <c r="H1061">
        <f t="shared" si="96"/>
        <v>-7.5244899786156491E-3</v>
      </c>
      <c r="I1061">
        <f t="shared" si="97"/>
        <v>-1.3009096979660562E-2</v>
      </c>
      <c r="J1061">
        <f t="shared" si="98"/>
        <v>-1.3877991617687931E-2</v>
      </c>
      <c r="K1061">
        <f t="shared" si="99"/>
        <v>2.151115899662662E-4</v>
      </c>
      <c r="L1061">
        <f t="shared" si="100"/>
        <v>6.8744033887520256E-3</v>
      </c>
      <c r="M1061">
        <f t="shared" si="101"/>
        <v>4.9234604075506011E-3</v>
      </c>
    </row>
    <row r="1062" spans="1:13" x14ac:dyDescent="0.2">
      <c r="A1062" s="6">
        <v>44385</v>
      </c>
      <c r="B1062" s="7">
        <v>20.329999999999998</v>
      </c>
      <c r="C1062" s="7">
        <v>126.1</v>
      </c>
      <c r="D1062" s="7">
        <v>339.07</v>
      </c>
      <c r="E1062" s="7">
        <v>186.57</v>
      </c>
      <c r="F1062" s="7">
        <v>44.74</v>
      </c>
      <c r="G1062" s="7">
        <v>293.04000000000002</v>
      </c>
      <c r="H1062">
        <f t="shared" si="96"/>
        <v>2.3389969023228738E-2</v>
      </c>
      <c r="I1062">
        <f t="shared" si="97"/>
        <v>1.9054295154004992E-2</v>
      </c>
      <c r="J1062">
        <f t="shared" si="98"/>
        <v>1.2404456045157251E-2</v>
      </c>
      <c r="K1062">
        <f t="shared" si="99"/>
        <v>3.2211334019698053E-3</v>
      </c>
      <c r="L1062">
        <f t="shared" si="100"/>
        <v>-1.1334714083951553E-2</v>
      </c>
      <c r="M1062">
        <f t="shared" si="101"/>
        <v>-1.433169826835865E-2</v>
      </c>
    </row>
    <row r="1063" spans="1:13" x14ac:dyDescent="0.2">
      <c r="A1063" s="6">
        <v>44384</v>
      </c>
      <c r="B1063" s="7">
        <v>20.65</v>
      </c>
      <c r="C1063" s="7">
        <v>126.14</v>
      </c>
      <c r="D1063" s="7">
        <v>342.35</v>
      </c>
      <c r="E1063" s="7">
        <v>184.83</v>
      </c>
      <c r="F1063" s="7">
        <v>44.85</v>
      </c>
      <c r="G1063" s="7">
        <v>293.91000000000003</v>
      </c>
      <c r="H1063">
        <f t="shared" si="96"/>
        <v>1.5617691766786476E-2</v>
      </c>
      <c r="I1063">
        <f t="shared" si="97"/>
        <v>3.1715826463128558E-4</v>
      </c>
      <c r="J1063">
        <f t="shared" si="98"/>
        <v>9.6270298271642022E-3</v>
      </c>
      <c r="K1063">
        <f t="shared" si="99"/>
        <v>-9.370020089318469E-3</v>
      </c>
      <c r="L1063">
        <f t="shared" si="100"/>
        <v>2.4556324428216024E-3</v>
      </c>
      <c r="M1063">
        <f t="shared" si="101"/>
        <v>2.9644795541015996E-3</v>
      </c>
    </row>
    <row r="1064" spans="1:13" x14ac:dyDescent="0.2">
      <c r="A1064" s="6">
        <v>44383</v>
      </c>
      <c r="B1064" s="7">
        <v>20.440000000000001</v>
      </c>
      <c r="C1064" s="7">
        <v>127.36</v>
      </c>
      <c r="D1064" s="7">
        <v>345.5</v>
      </c>
      <c r="E1064" s="7">
        <v>183.79</v>
      </c>
      <c r="F1064" s="7">
        <v>44.75</v>
      </c>
      <c r="G1064" s="7">
        <v>293.23</v>
      </c>
      <c r="H1064">
        <f t="shared" si="96"/>
        <v>-1.0221554071537915E-2</v>
      </c>
      <c r="I1064">
        <f t="shared" si="97"/>
        <v>9.6253208605676759E-3</v>
      </c>
      <c r="J1064">
        <f t="shared" si="98"/>
        <v>9.1590376406527115E-3</v>
      </c>
      <c r="K1064">
        <f t="shared" si="99"/>
        <v>-5.6426822172064208E-3</v>
      </c>
      <c r="L1064">
        <f t="shared" si="100"/>
        <v>-2.2321437839407832E-3</v>
      </c>
      <c r="M1064">
        <f t="shared" si="101"/>
        <v>-2.3163140104037888E-3</v>
      </c>
    </row>
    <row r="1065" spans="1:13" x14ac:dyDescent="0.2">
      <c r="A1065" s="6">
        <v>44379</v>
      </c>
      <c r="B1065" s="7">
        <v>20.170000000000002</v>
      </c>
      <c r="C1065" s="7">
        <v>126.47</v>
      </c>
      <c r="D1065" s="7">
        <v>349.93</v>
      </c>
      <c r="E1065" s="7">
        <v>175.55</v>
      </c>
      <c r="F1065" s="7">
        <v>44.69</v>
      </c>
      <c r="G1065" s="7">
        <v>291.52</v>
      </c>
      <c r="H1065">
        <f t="shared" si="96"/>
        <v>-1.3297413369383239E-2</v>
      </c>
      <c r="I1065">
        <f t="shared" si="97"/>
        <v>-7.0125962041879134E-3</v>
      </c>
      <c r="J1065">
        <f t="shared" si="98"/>
        <v>1.2740491273067738E-2</v>
      </c>
      <c r="K1065">
        <f t="shared" si="99"/>
        <v>-4.5869898862941343E-2</v>
      </c>
      <c r="L1065">
        <f t="shared" si="100"/>
        <v>-1.3416817755043287E-3</v>
      </c>
      <c r="M1065">
        <f t="shared" si="101"/>
        <v>-5.8486699426633986E-3</v>
      </c>
    </row>
    <row r="1066" spans="1:13" x14ac:dyDescent="0.2">
      <c r="A1066" s="6">
        <v>44378</v>
      </c>
      <c r="B1066" s="7">
        <v>19.96</v>
      </c>
      <c r="C1066" s="7">
        <v>126.11</v>
      </c>
      <c r="D1066" s="7">
        <v>351</v>
      </c>
      <c r="E1066" s="7">
        <v>171.65</v>
      </c>
      <c r="F1066" s="7">
        <v>44.87</v>
      </c>
      <c r="G1066" s="7">
        <v>293.08</v>
      </c>
      <c r="H1066">
        <f t="shared" si="96"/>
        <v>-1.0466081082802559E-2</v>
      </c>
      <c r="I1066">
        <f t="shared" si="97"/>
        <v>-2.8505839241019138E-3</v>
      </c>
      <c r="J1066">
        <f t="shared" si="98"/>
        <v>3.0530889850734115E-3</v>
      </c>
      <c r="K1066">
        <f t="shared" si="99"/>
        <v>-2.2466382710740179E-2</v>
      </c>
      <c r="L1066">
        <f t="shared" si="100"/>
        <v>4.0196570425318542E-3</v>
      </c>
      <c r="M1066">
        <f t="shared" si="101"/>
        <v>5.33699522016968E-3</v>
      </c>
    </row>
    <row r="1067" spans="1:13" x14ac:dyDescent="0.2">
      <c r="A1067" s="6">
        <v>44377</v>
      </c>
      <c r="B1067" s="7">
        <v>19.98</v>
      </c>
      <c r="C1067" s="7">
        <v>124.66</v>
      </c>
      <c r="D1067" s="7">
        <v>348.27</v>
      </c>
      <c r="E1067" s="7">
        <v>172.01</v>
      </c>
      <c r="F1067" s="7">
        <v>44.87</v>
      </c>
      <c r="G1067" s="7">
        <v>296.58999999999997</v>
      </c>
      <c r="H1067">
        <f t="shared" si="96"/>
        <v>1.0015023370896004E-3</v>
      </c>
      <c r="I1067">
        <f t="shared" si="97"/>
        <v>-1.1564510587078641E-2</v>
      </c>
      <c r="J1067">
        <f t="shared" si="98"/>
        <v>-7.8081824478118105E-3</v>
      </c>
      <c r="K1067">
        <f t="shared" si="99"/>
        <v>2.0950947545984636E-3</v>
      </c>
      <c r="L1067">
        <f t="shared" si="100"/>
        <v>0</v>
      </c>
      <c r="M1067">
        <f t="shared" si="101"/>
        <v>1.1905104402017943E-2</v>
      </c>
    </row>
    <row r="1068" spans="1:13" x14ac:dyDescent="0.2">
      <c r="A1068" s="6">
        <v>44376</v>
      </c>
      <c r="B1068" s="7">
        <v>19.940000000000001</v>
      </c>
      <c r="C1068" s="7">
        <v>124.19</v>
      </c>
      <c r="D1068" s="7">
        <v>343.53</v>
      </c>
      <c r="E1068" s="7">
        <v>172.41</v>
      </c>
      <c r="F1068" s="7">
        <v>44.81</v>
      </c>
      <c r="G1068" s="7">
        <v>298.08</v>
      </c>
      <c r="H1068">
        <f t="shared" si="96"/>
        <v>-2.0040086867151429E-3</v>
      </c>
      <c r="I1068">
        <f t="shared" si="97"/>
        <v>-3.7773804207633654E-3</v>
      </c>
      <c r="J1068">
        <f t="shared" si="98"/>
        <v>-1.3703596924696354E-2</v>
      </c>
      <c r="K1068">
        <f t="shared" si="99"/>
        <v>2.3227465294603216E-3</v>
      </c>
      <c r="L1068">
        <f t="shared" si="100"/>
        <v>-1.3380911898401779E-3</v>
      </c>
      <c r="M1068">
        <f t="shared" si="101"/>
        <v>5.0111931594971418E-3</v>
      </c>
    </row>
    <row r="1069" spans="1:13" x14ac:dyDescent="0.2">
      <c r="A1069" s="6">
        <v>44375</v>
      </c>
      <c r="B1069" s="7">
        <v>18.989999999999998</v>
      </c>
      <c r="C1069" s="7">
        <v>125.61</v>
      </c>
      <c r="D1069" s="7">
        <v>348.34</v>
      </c>
      <c r="E1069" s="7">
        <v>172.19</v>
      </c>
      <c r="F1069" s="7">
        <v>44.44</v>
      </c>
      <c r="G1069" s="7">
        <v>292.54000000000002</v>
      </c>
      <c r="H1069">
        <f t="shared" si="96"/>
        <v>-4.8815239709497922E-2</v>
      </c>
      <c r="I1069">
        <f t="shared" si="97"/>
        <v>1.1369217739220507E-2</v>
      </c>
      <c r="J1069">
        <f t="shared" si="98"/>
        <v>1.3904570210281198E-2</v>
      </c>
      <c r="K1069">
        <f t="shared" si="99"/>
        <v>-1.2768428896653813E-3</v>
      </c>
      <c r="L1069">
        <f t="shared" si="100"/>
        <v>-8.2913640266225521E-3</v>
      </c>
      <c r="M1069">
        <f t="shared" si="101"/>
        <v>-1.8760497394335929E-2</v>
      </c>
    </row>
    <row r="1070" spans="1:13" x14ac:dyDescent="0.2">
      <c r="A1070" s="6">
        <v>44372</v>
      </c>
      <c r="B1070" s="7">
        <v>19.16</v>
      </c>
      <c r="C1070" s="7">
        <v>125.33</v>
      </c>
      <c r="D1070" s="7">
        <v>350.62</v>
      </c>
      <c r="E1070" s="7">
        <v>170.07</v>
      </c>
      <c r="F1070" s="7">
        <v>44.41</v>
      </c>
      <c r="G1070" s="7">
        <v>292.27</v>
      </c>
      <c r="H1070">
        <f t="shared" si="96"/>
        <v>8.9122477185199812E-3</v>
      </c>
      <c r="I1070">
        <f t="shared" si="97"/>
        <v>-2.2316100757307361E-3</v>
      </c>
      <c r="J1070">
        <f t="shared" si="98"/>
        <v>6.5240016220891725E-3</v>
      </c>
      <c r="K1070">
        <f t="shared" si="99"/>
        <v>-1.2388401293772441E-2</v>
      </c>
      <c r="L1070">
        <f t="shared" si="100"/>
        <v>-6.752954674183947E-4</v>
      </c>
      <c r="M1070">
        <f t="shared" si="101"/>
        <v>-9.2337688884965767E-4</v>
      </c>
    </row>
    <row r="1071" spans="1:13" x14ac:dyDescent="0.2">
      <c r="A1071" s="6">
        <v>44371</v>
      </c>
      <c r="B1071" s="7">
        <v>19.010000000000002</v>
      </c>
      <c r="C1071" s="7">
        <v>124.4</v>
      </c>
      <c r="D1071" s="7">
        <v>352.53</v>
      </c>
      <c r="E1071" s="7">
        <v>172.45</v>
      </c>
      <c r="F1071" s="7">
        <v>44.63</v>
      </c>
      <c r="G1071" s="7">
        <v>291.37</v>
      </c>
      <c r="H1071">
        <f t="shared" si="96"/>
        <v>-7.8596160423766298E-3</v>
      </c>
      <c r="I1071">
        <f t="shared" si="97"/>
        <v>-7.448078318351794E-3</v>
      </c>
      <c r="J1071">
        <f t="shared" si="98"/>
        <v>5.4327090882311906E-3</v>
      </c>
      <c r="K1071">
        <f t="shared" si="99"/>
        <v>1.3897222378527765E-2</v>
      </c>
      <c r="L1071">
        <f t="shared" si="100"/>
        <v>4.9416093371677777E-3</v>
      </c>
      <c r="M1071">
        <f t="shared" si="101"/>
        <v>-3.0840953785661392E-3</v>
      </c>
    </row>
    <row r="1072" spans="1:13" x14ac:dyDescent="0.2">
      <c r="A1072" s="6">
        <v>44370</v>
      </c>
      <c r="B1072" s="7">
        <v>18.84</v>
      </c>
      <c r="C1072" s="7">
        <v>121.61</v>
      </c>
      <c r="D1072" s="7">
        <v>352.22</v>
      </c>
      <c r="E1072" s="7">
        <v>175.19</v>
      </c>
      <c r="F1072" s="7">
        <v>44.43</v>
      </c>
      <c r="G1072" s="7">
        <v>285.56</v>
      </c>
      <c r="H1072">
        <f t="shared" si="96"/>
        <v>-8.9828873521208951E-3</v>
      </c>
      <c r="I1072">
        <f t="shared" si="97"/>
        <v>-2.26829773121709E-2</v>
      </c>
      <c r="J1072">
        <f t="shared" si="98"/>
        <v>-8.7974464702002362E-4</v>
      </c>
      <c r="K1072">
        <f t="shared" si="99"/>
        <v>1.5763759864880725E-2</v>
      </c>
      <c r="L1072">
        <f t="shared" si="100"/>
        <v>-4.4913616933614856E-3</v>
      </c>
      <c r="M1072">
        <f t="shared" si="101"/>
        <v>-2.0141772557266634E-2</v>
      </c>
    </row>
    <row r="1073" spans="1:13" x14ac:dyDescent="0.2">
      <c r="A1073" s="6">
        <v>44369</v>
      </c>
      <c r="B1073" s="7">
        <v>18.39</v>
      </c>
      <c r="C1073" s="7">
        <v>121.25</v>
      </c>
      <c r="D1073" s="7">
        <v>345.58</v>
      </c>
      <c r="E1073" s="7">
        <v>175.27</v>
      </c>
      <c r="F1073" s="7">
        <v>44.54</v>
      </c>
      <c r="G1073" s="7">
        <v>287.95999999999998</v>
      </c>
      <c r="H1073">
        <f t="shared" si="96"/>
        <v>-2.4175230531987214E-2</v>
      </c>
      <c r="I1073">
        <f t="shared" si="97"/>
        <v>-2.9646731753156367E-3</v>
      </c>
      <c r="J1073">
        <f t="shared" si="98"/>
        <v>-1.9031815481963556E-2</v>
      </c>
      <c r="K1073">
        <f t="shared" si="99"/>
        <v>4.5654283735407745E-4</v>
      </c>
      <c r="L1073">
        <f t="shared" si="100"/>
        <v>2.4727448814043577E-3</v>
      </c>
      <c r="M1073">
        <f t="shared" si="101"/>
        <v>8.3694169668423451E-3</v>
      </c>
    </row>
    <row r="1074" spans="1:13" x14ac:dyDescent="0.2">
      <c r="A1074" s="6">
        <v>44368</v>
      </c>
      <c r="B1074" s="7">
        <v>18.600000000000001</v>
      </c>
      <c r="C1074" s="7">
        <v>121.43</v>
      </c>
      <c r="D1074" s="7">
        <v>349.73</v>
      </c>
      <c r="E1074" s="7">
        <v>172.7</v>
      </c>
      <c r="F1074" s="7">
        <v>44.57</v>
      </c>
      <c r="G1074" s="7">
        <v>289</v>
      </c>
      <c r="H1074">
        <f t="shared" si="96"/>
        <v>1.1354542102925849E-2</v>
      </c>
      <c r="I1074">
        <f t="shared" si="97"/>
        <v>1.483435248135003E-3</v>
      </c>
      <c r="J1074">
        <f t="shared" si="98"/>
        <v>1.1937263322919988E-2</v>
      </c>
      <c r="K1074">
        <f t="shared" si="99"/>
        <v>-1.477165693245182E-2</v>
      </c>
      <c r="L1074">
        <f t="shared" si="100"/>
        <v>6.7332512924289103E-4</v>
      </c>
      <c r="M1074">
        <f t="shared" si="101"/>
        <v>3.6051065113301356E-3</v>
      </c>
    </row>
    <row r="1075" spans="1:13" x14ac:dyDescent="0.2">
      <c r="A1075" s="6">
        <v>44365</v>
      </c>
      <c r="B1075" s="7">
        <v>18.62</v>
      </c>
      <c r="C1075" s="7">
        <v>121.7</v>
      </c>
      <c r="D1075" s="7">
        <v>353.46</v>
      </c>
      <c r="E1075" s="7">
        <v>174.35</v>
      </c>
      <c r="F1075" s="7">
        <v>44.53</v>
      </c>
      <c r="G1075" s="7">
        <v>285.88</v>
      </c>
      <c r="H1075">
        <f t="shared" si="96"/>
        <v>1.0746911297653593E-3</v>
      </c>
      <c r="I1075">
        <f t="shared" si="97"/>
        <v>2.2210349277537746E-3</v>
      </c>
      <c r="J1075">
        <f t="shared" si="98"/>
        <v>1.0608896553755208E-2</v>
      </c>
      <c r="K1075">
        <f t="shared" si="99"/>
        <v>9.5087879690273561E-3</v>
      </c>
      <c r="L1075">
        <f t="shared" si="100"/>
        <v>-8.9786762485339472E-4</v>
      </c>
      <c r="M1075">
        <f t="shared" si="101"/>
        <v>-1.0854545760654059E-2</v>
      </c>
    </row>
    <row r="1076" spans="1:13" x14ac:dyDescent="0.2">
      <c r="A1076" s="6">
        <v>44364</v>
      </c>
      <c r="B1076" s="7">
        <v>17.77</v>
      </c>
      <c r="C1076" s="7">
        <v>121.67</v>
      </c>
      <c r="D1076" s="7">
        <v>339.28</v>
      </c>
      <c r="E1076" s="7">
        <v>174.46</v>
      </c>
      <c r="F1076" s="7">
        <v>44.23</v>
      </c>
      <c r="G1076" s="7">
        <v>283.93</v>
      </c>
      <c r="H1076">
        <f t="shared" si="96"/>
        <v>-4.6724629682361081E-2</v>
      </c>
      <c r="I1076">
        <f t="shared" si="97"/>
        <v>-2.4653819412374554E-4</v>
      </c>
      <c r="J1076">
        <f t="shared" si="98"/>
        <v>-4.0944599595315725E-2</v>
      </c>
      <c r="K1076">
        <f t="shared" si="99"/>
        <v>6.3071588341234589E-4</v>
      </c>
      <c r="L1076">
        <f t="shared" si="100"/>
        <v>-6.7598274533757505E-3</v>
      </c>
      <c r="M1076">
        <f t="shared" si="101"/>
        <v>-6.8444134447212587E-3</v>
      </c>
    </row>
    <row r="1077" spans="1:13" x14ac:dyDescent="0.2">
      <c r="A1077" s="6">
        <v>44363</v>
      </c>
      <c r="B1077" s="7">
        <v>17.75</v>
      </c>
      <c r="C1077" s="7">
        <v>121.66</v>
      </c>
      <c r="D1077" s="7">
        <v>341.08</v>
      </c>
      <c r="E1077" s="7">
        <v>170.76</v>
      </c>
      <c r="F1077" s="7">
        <v>44.06</v>
      </c>
      <c r="G1077" s="7">
        <v>288.13</v>
      </c>
      <c r="H1077">
        <f t="shared" si="96"/>
        <v>-1.126126245135136E-3</v>
      </c>
      <c r="I1077">
        <f t="shared" si="97"/>
        <v>-8.2192906798454239E-5</v>
      </c>
      <c r="J1077">
        <f t="shared" si="98"/>
        <v>5.291328707513498E-3</v>
      </c>
      <c r="K1077">
        <f t="shared" si="99"/>
        <v>-2.1436427115311275E-2</v>
      </c>
      <c r="L1077">
        <f t="shared" si="100"/>
        <v>-3.850950506038247E-3</v>
      </c>
      <c r="M1077">
        <f t="shared" si="101"/>
        <v>1.4684038272460086E-2</v>
      </c>
    </row>
    <row r="1078" spans="1:13" x14ac:dyDescent="0.2">
      <c r="A1078" s="6">
        <v>44362</v>
      </c>
      <c r="B1078" s="7">
        <v>17.98</v>
      </c>
      <c r="C1078" s="7">
        <v>121.29</v>
      </c>
      <c r="D1078" s="7">
        <v>338.5</v>
      </c>
      <c r="E1078" s="7">
        <v>169.16</v>
      </c>
      <c r="F1078" s="7">
        <v>44.14</v>
      </c>
      <c r="G1078" s="7">
        <v>288.45</v>
      </c>
      <c r="H1078">
        <f t="shared" si="96"/>
        <v>1.2874513122049439E-2</v>
      </c>
      <c r="I1078">
        <f t="shared" si="97"/>
        <v>-3.0458965717699788E-3</v>
      </c>
      <c r="J1078">
        <f t="shared" si="98"/>
        <v>-7.5929615215190888E-3</v>
      </c>
      <c r="K1078">
        <f t="shared" si="99"/>
        <v>-9.4140492854734286E-3</v>
      </c>
      <c r="L1078">
        <f t="shared" si="100"/>
        <v>1.8140594543932759E-3</v>
      </c>
      <c r="M1078">
        <f t="shared" si="101"/>
        <v>1.1099935233814483E-3</v>
      </c>
    </row>
    <row r="1079" spans="1:13" x14ac:dyDescent="0.2">
      <c r="A1079" s="6">
        <v>44361</v>
      </c>
      <c r="B1079" s="7">
        <v>17.79</v>
      </c>
      <c r="C1079" s="7">
        <v>121.49</v>
      </c>
      <c r="D1079" s="7">
        <v>336.95</v>
      </c>
      <c r="E1079" s="7">
        <v>169.19</v>
      </c>
      <c r="F1079" s="7">
        <v>43.92</v>
      </c>
      <c r="G1079" s="7">
        <v>285.27</v>
      </c>
      <c r="H1079">
        <f t="shared" si="96"/>
        <v>-1.0623527365730514E-2</v>
      </c>
      <c r="I1079">
        <f t="shared" si="97"/>
        <v>1.6475825458615769E-3</v>
      </c>
      <c r="J1079">
        <f t="shared" si="98"/>
        <v>-4.5895409601037123E-3</v>
      </c>
      <c r="K1079">
        <f t="shared" si="99"/>
        <v>1.773311664172244E-4</v>
      </c>
      <c r="L1079">
        <f t="shared" si="100"/>
        <v>-4.9966036273151214E-3</v>
      </c>
      <c r="M1079">
        <f t="shared" si="101"/>
        <v>-1.1085660483435863E-2</v>
      </c>
    </row>
    <row r="1080" spans="1:13" x14ac:dyDescent="0.2">
      <c r="A1080" s="6">
        <v>44358</v>
      </c>
      <c r="B1080" s="7">
        <v>17.39</v>
      </c>
      <c r="C1080" s="7">
        <v>120.98</v>
      </c>
      <c r="D1080" s="7">
        <v>330.25</v>
      </c>
      <c r="E1080" s="7">
        <v>167.34</v>
      </c>
      <c r="F1080" s="7">
        <v>43.95</v>
      </c>
      <c r="G1080" s="7">
        <v>289.69</v>
      </c>
      <c r="H1080">
        <f t="shared" si="96"/>
        <v>-2.2741173311552051E-2</v>
      </c>
      <c r="I1080">
        <f t="shared" si="97"/>
        <v>-4.2067121878824696E-3</v>
      </c>
      <c r="J1080">
        <f t="shared" si="98"/>
        <v>-2.0084607989791222E-2</v>
      </c>
      <c r="K1080">
        <f t="shared" si="99"/>
        <v>-1.0994672903252274E-2</v>
      </c>
      <c r="L1080">
        <f t="shared" si="100"/>
        <v>6.8282692991072967E-4</v>
      </c>
      <c r="M1080">
        <f t="shared" si="101"/>
        <v>1.53752854926862E-2</v>
      </c>
    </row>
    <row r="1081" spans="1:13" x14ac:dyDescent="0.2">
      <c r="A1081" s="6">
        <v>44356</v>
      </c>
      <c r="B1081" s="7">
        <v>17.32</v>
      </c>
      <c r="C1081" s="7">
        <v>119.29</v>
      </c>
      <c r="D1081" s="7">
        <v>327.64</v>
      </c>
      <c r="E1081" s="7">
        <v>167.48</v>
      </c>
      <c r="F1081" s="7">
        <v>44.03</v>
      </c>
      <c r="G1081" s="7">
        <v>285.91000000000003</v>
      </c>
      <c r="H1081">
        <f t="shared" si="96"/>
        <v>-4.0334252319026284E-3</v>
      </c>
      <c r="I1081">
        <f t="shared" si="97"/>
        <v>-1.4067739384913675E-2</v>
      </c>
      <c r="J1081">
        <f t="shared" si="98"/>
        <v>-7.9344987550334142E-3</v>
      </c>
      <c r="K1081">
        <f t="shared" si="99"/>
        <v>8.3627028348996963E-4</v>
      </c>
      <c r="L1081">
        <f t="shared" si="100"/>
        <v>1.8185956364763665E-3</v>
      </c>
      <c r="M1081">
        <f t="shared" si="101"/>
        <v>-1.313430973079477E-2</v>
      </c>
    </row>
    <row r="1082" spans="1:13" x14ac:dyDescent="0.2">
      <c r="A1082" s="6">
        <v>44356</v>
      </c>
      <c r="B1082" s="7">
        <v>17.41</v>
      </c>
      <c r="C1082" s="7">
        <v>120.91</v>
      </c>
      <c r="D1082" s="7">
        <v>334.45</v>
      </c>
      <c r="E1082" s="7">
        <v>164.06</v>
      </c>
      <c r="F1082" s="7">
        <v>44.08</v>
      </c>
      <c r="G1082" s="7">
        <v>288.99</v>
      </c>
      <c r="H1082">
        <f t="shared" si="96"/>
        <v>5.1828506458084763E-3</v>
      </c>
      <c r="I1082">
        <f t="shared" si="97"/>
        <v>1.348896389230083E-2</v>
      </c>
      <c r="J1082">
        <f t="shared" si="98"/>
        <v>2.05719469170157E-2</v>
      </c>
      <c r="K1082">
        <f t="shared" si="99"/>
        <v>-2.0631726576338664E-2</v>
      </c>
      <c r="L1082">
        <f t="shared" si="100"/>
        <v>1.1349450769964139E-3</v>
      </c>
      <c r="M1082">
        <f t="shared" si="101"/>
        <v>1.0715009456288135E-2</v>
      </c>
    </row>
    <row r="1083" spans="1:13" x14ac:dyDescent="0.2">
      <c r="A1083" s="6">
        <v>44355</v>
      </c>
      <c r="B1083" s="7">
        <v>17.579999999999998</v>
      </c>
      <c r="C1083" s="7">
        <v>119.95</v>
      </c>
      <c r="D1083" s="7">
        <v>329.05</v>
      </c>
      <c r="E1083" s="7">
        <v>163.21</v>
      </c>
      <c r="F1083" s="7">
        <v>43.83</v>
      </c>
      <c r="G1083" s="7">
        <v>287.95999999999998</v>
      </c>
      <c r="H1083">
        <f t="shared" si="96"/>
        <v>9.7171384769331234E-3</v>
      </c>
      <c r="I1083">
        <f t="shared" si="97"/>
        <v>-7.9714779004517004E-3</v>
      </c>
      <c r="J1083">
        <f t="shared" si="98"/>
        <v>-1.6277676662288819E-2</v>
      </c>
      <c r="K1083">
        <f t="shared" si="99"/>
        <v>-5.1944994119992923E-3</v>
      </c>
      <c r="L1083">
        <f t="shared" si="100"/>
        <v>-5.6876504139412578E-3</v>
      </c>
      <c r="M1083">
        <f t="shared" si="101"/>
        <v>-3.5705038365398908E-3</v>
      </c>
    </row>
    <row r="1084" spans="1:13" x14ac:dyDescent="0.2">
      <c r="A1084" s="6">
        <v>44354</v>
      </c>
      <c r="B1084" s="7">
        <v>17.54</v>
      </c>
      <c r="C1084" s="7">
        <v>120.59</v>
      </c>
      <c r="D1084" s="7">
        <v>334.69</v>
      </c>
      <c r="E1084" s="7">
        <v>159.9</v>
      </c>
      <c r="F1084" s="7">
        <v>44.37</v>
      </c>
      <c r="G1084" s="7">
        <v>285.58</v>
      </c>
      <c r="H1084">
        <f t="shared" si="96"/>
        <v>-2.2779053129939539E-3</v>
      </c>
      <c r="I1084">
        <f t="shared" si="97"/>
        <v>5.3213728297974898E-3</v>
      </c>
      <c r="J1084">
        <f t="shared" si="98"/>
        <v>1.6995015366570478E-2</v>
      </c>
      <c r="K1084">
        <f t="shared" si="99"/>
        <v>-2.0489095322695963E-2</v>
      </c>
      <c r="L1084">
        <f t="shared" si="100"/>
        <v>1.2245050960100387E-2</v>
      </c>
      <c r="M1084">
        <f t="shared" si="101"/>
        <v>-8.2993815989529703E-3</v>
      </c>
    </row>
    <row r="1085" spans="1:13" x14ac:dyDescent="0.2">
      <c r="A1085" s="6">
        <v>44351</v>
      </c>
      <c r="B1085" s="7">
        <v>16.93</v>
      </c>
      <c r="C1085" s="7">
        <v>121.61</v>
      </c>
      <c r="D1085" s="7">
        <v>334.71</v>
      </c>
      <c r="E1085" s="7">
        <v>160.31</v>
      </c>
      <c r="F1085" s="7">
        <v>43.2</v>
      </c>
      <c r="G1085" s="7">
        <v>285</v>
      </c>
      <c r="H1085">
        <f t="shared" si="96"/>
        <v>-3.5396790798992987E-2</v>
      </c>
      <c r="I1085">
        <f t="shared" si="97"/>
        <v>8.4228408774069986E-3</v>
      </c>
      <c r="J1085">
        <f t="shared" si="98"/>
        <v>5.975500449940798E-5</v>
      </c>
      <c r="K1085">
        <f t="shared" si="99"/>
        <v>2.5608208616736505E-3</v>
      </c>
      <c r="L1085">
        <f t="shared" si="100"/>
        <v>-2.6723070140753393E-2</v>
      </c>
      <c r="M1085">
        <f t="shared" si="101"/>
        <v>-2.0330197334985753E-3</v>
      </c>
    </row>
    <row r="1086" spans="1:13" x14ac:dyDescent="0.2">
      <c r="A1086" s="6">
        <v>44350</v>
      </c>
      <c r="B1086" s="7">
        <v>16.739999999999998</v>
      </c>
      <c r="C1086" s="7">
        <v>120.68</v>
      </c>
      <c r="D1086" s="7">
        <v>329.23</v>
      </c>
      <c r="E1086" s="7">
        <v>159.35</v>
      </c>
      <c r="F1086" s="7">
        <v>43.45</v>
      </c>
      <c r="G1086" s="7">
        <v>281.45</v>
      </c>
      <c r="H1086">
        <f t="shared" si="96"/>
        <v>-1.1286131083714717E-2</v>
      </c>
      <c r="I1086">
        <f t="shared" si="97"/>
        <v>-7.6767887020478195E-3</v>
      </c>
      <c r="J1086">
        <f t="shared" si="98"/>
        <v>-1.650789061021982E-2</v>
      </c>
      <c r="K1086">
        <f t="shared" si="99"/>
        <v>-6.006399838236841E-3</v>
      </c>
      <c r="L1086">
        <f t="shared" si="100"/>
        <v>5.7703564613363597E-3</v>
      </c>
      <c r="M1086">
        <f t="shared" si="101"/>
        <v>-1.253436835861502E-2</v>
      </c>
    </row>
    <row r="1087" spans="1:13" x14ac:dyDescent="0.2">
      <c r="A1087" s="6">
        <v>44349</v>
      </c>
      <c r="B1087" s="7">
        <v>16.22</v>
      </c>
      <c r="C1087" s="7">
        <v>120.92</v>
      </c>
      <c r="D1087" s="7">
        <v>330.42</v>
      </c>
      <c r="E1087" s="7">
        <v>161.69999999999999</v>
      </c>
      <c r="F1087" s="7">
        <v>43.58</v>
      </c>
      <c r="G1087" s="7">
        <v>280.87</v>
      </c>
      <c r="H1087">
        <f t="shared" si="96"/>
        <v>-3.1556016374062322E-2</v>
      </c>
      <c r="I1087">
        <f t="shared" si="97"/>
        <v>1.9867556203970187E-3</v>
      </c>
      <c r="J1087">
        <f t="shared" si="98"/>
        <v>3.6079778394671178E-3</v>
      </c>
      <c r="K1087">
        <f t="shared" si="99"/>
        <v>1.4639725719715797E-2</v>
      </c>
      <c r="L1087">
        <f t="shared" si="100"/>
        <v>2.9874778050725868E-3</v>
      </c>
      <c r="M1087">
        <f t="shared" si="101"/>
        <v>-2.0628830761197157E-3</v>
      </c>
    </row>
    <row r="1088" spans="1:13" x14ac:dyDescent="0.2">
      <c r="A1088" s="6">
        <v>44348</v>
      </c>
      <c r="B1088" s="7">
        <v>16.2</v>
      </c>
      <c r="C1088" s="7">
        <v>119.57</v>
      </c>
      <c r="D1088" s="7">
        <v>328.23</v>
      </c>
      <c r="E1088" s="7">
        <v>160.93</v>
      </c>
      <c r="F1088" s="7">
        <v>43.07</v>
      </c>
      <c r="G1088" s="7">
        <v>279.27</v>
      </c>
      <c r="H1088">
        <f t="shared" si="96"/>
        <v>-1.2338064489284325E-3</v>
      </c>
      <c r="I1088">
        <f t="shared" si="97"/>
        <v>-1.1227195979768768E-2</v>
      </c>
      <c r="J1088">
        <f t="shared" si="98"/>
        <v>-6.649990345636912E-3</v>
      </c>
      <c r="K1088">
        <f t="shared" si="99"/>
        <v>-4.773278752657548E-3</v>
      </c>
      <c r="L1088">
        <f t="shared" si="100"/>
        <v>-1.1771630450454568E-2</v>
      </c>
      <c r="M1088">
        <f t="shared" si="101"/>
        <v>-5.7128730374076493E-3</v>
      </c>
    </row>
    <row r="1089" spans="1:13" x14ac:dyDescent="0.2">
      <c r="A1089" s="6">
        <v>44344</v>
      </c>
      <c r="B1089" s="7">
        <v>15.45</v>
      </c>
      <c r="C1089" s="7">
        <v>119.1</v>
      </c>
      <c r="D1089" s="7">
        <v>331.64</v>
      </c>
      <c r="E1089" s="7">
        <v>161.15</v>
      </c>
      <c r="F1089" s="7">
        <v>42.77</v>
      </c>
      <c r="G1089" s="7">
        <v>279.12</v>
      </c>
      <c r="H1089">
        <f t="shared" si="96"/>
        <v>-4.7402238894583906E-2</v>
      </c>
      <c r="I1089">
        <f t="shared" si="97"/>
        <v>-3.9384975702342331E-3</v>
      </c>
      <c r="J1089">
        <f t="shared" si="98"/>
        <v>1.0335461091209574E-2</v>
      </c>
      <c r="K1089">
        <f t="shared" si="99"/>
        <v>1.3661204310434418E-3</v>
      </c>
      <c r="L1089">
        <f t="shared" si="100"/>
        <v>-6.9897768272018318E-3</v>
      </c>
      <c r="M1089">
        <f t="shared" si="101"/>
        <v>-5.3725891798942394E-4</v>
      </c>
    </row>
    <row r="1090" spans="1:13" x14ac:dyDescent="0.2">
      <c r="A1090" s="6">
        <v>44343</v>
      </c>
      <c r="B1090" s="7">
        <v>15.66</v>
      </c>
      <c r="C1090" s="7">
        <v>119.29</v>
      </c>
      <c r="D1090" s="7">
        <v>334.52</v>
      </c>
      <c r="E1090" s="7">
        <v>161.51</v>
      </c>
      <c r="F1090" s="7">
        <v>43.11</v>
      </c>
      <c r="G1090" s="7">
        <v>280.05</v>
      </c>
      <c r="H1090">
        <f t="shared" si="96"/>
        <v>1.3500687218902524E-2</v>
      </c>
      <c r="I1090">
        <f t="shared" si="97"/>
        <v>1.5940269326001656E-3</v>
      </c>
      <c r="J1090">
        <f t="shared" si="98"/>
        <v>8.6466252653071389E-3</v>
      </c>
      <c r="K1090">
        <f t="shared" si="99"/>
        <v>2.2314519889748878E-3</v>
      </c>
      <c r="L1090">
        <f t="shared" si="100"/>
        <v>7.918066520225869E-3</v>
      </c>
      <c r="M1090">
        <f t="shared" si="101"/>
        <v>3.3263617773225582E-3</v>
      </c>
    </row>
    <row r="1091" spans="1:13" x14ac:dyDescent="0.2">
      <c r="A1091" s="6">
        <v>44342</v>
      </c>
      <c r="B1091" s="7">
        <v>15.61</v>
      </c>
      <c r="C1091" s="7">
        <v>118.86</v>
      </c>
      <c r="D1091" s="7">
        <v>328.33</v>
      </c>
      <c r="E1091" s="7">
        <v>163.26</v>
      </c>
      <c r="F1091" s="7">
        <v>42.91</v>
      </c>
      <c r="G1091" s="7">
        <v>275.47000000000003</v>
      </c>
      <c r="H1091">
        <f t="shared" si="96"/>
        <v>-3.1979560353164113E-3</v>
      </c>
      <c r="I1091">
        <f t="shared" si="97"/>
        <v>-3.6111733553399095E-3</v>
      </c>
      <c r="J1091">
        <f t="shared" si="98"/>
        <v>-1.8677468345144565E-2</v>
      </c>
      <c r="K1091">
        <f t="shared" si="99"/>
        <v>1.0776961772788181E-2</v>
      </c>
      <c r="L1091">
        <f t="shared" si="100"/>
        <v>-4.6500897556099258E-3</v>
      </c>
      <c r="M1091">
        <f t="shared" si="101"/>
        <v>-1.6489428914096767E-2</v>
      </c>
    </row>
    <row r="1092" spans="1:13" x14ac:dyDescent="0.2">
      <c r="A1092" s="6">
        <v>44341</v>
      </c>
      <c r="B1092" s="7">
        <v>15.57</v>
      </c>
      <c r="C1092" s="7">
        <v>116.57</v>
      </c>
      <c r="D1092" s="7">
        <v>324.04000000000002</v>
      </c>
      <c r="E1092" s="7">
        <v>162.94999999999999</v>
      </c>
      <c r="F1092" s="7">
        <v>42.52</v>
      </c>
      <c r="G1092" s="7">
        <v>271</v>
      </c>
      <c r="H1092">
        <f t="shared" ref="H1092:H1155" si="102">LN(B1092/B1091)</f>
        <v>-2.5657486814336461E-3</v>
      </c>
      <c r="I1092">
        <f t="shared" ref="I1092:I1155" si="103">LN(C1092/C1091)</f>
        <v>-1.9454379006773579E-2</v>
      </c>
      <c r="J1092">
        <f t="shared" ref="J1092:J1155" si="104">LN(D1092/D1091)</f>
        <v>-1.31522352058898E-2</v>
      </c>
      <c r="K1092">
        <f t="shared" ref="K1092:K1155" si="105">LN(E1092/E1091)</f>
        <v>-1.9006167396393798E-3</v>
      </c>
      <c r="L1092">
        <f t="shared" ref="L1092:L1155" si="106">LN(F1092/F1091)</f>
        <v>-9.1303455296860136E-3</v>
      </c>
      <c r="M1092">
        <f t="shared" ref="M1092:M1155" si="107">LN(G1092/G1091)</f>
        <v>-1.6359908862043644E-2</v>
      </c>
    </row>
    <row r="1093" spans="1:13" x14ac:dyDescent="0.2">
      <c r="A1093" s="6">
        <v>44340</v>
      </c>
      <c r="B1093" s="7">
        <v>14.95</v>
      </c>
      <c r="C1093" s="7">
        <v>117.72</v>
      </c>
      <c r="D1093" s="7">
        <v>327.13</v>
      </c>
      <c r="E1093" s="7">
        <v>162.25</v>
      </c>
      <c r="F1093" s="7">
        <v>43.33</v>
      </c>
      <c r="G1093" s="7">
        <v>271.45999999999998</v>
      </c>
      <c r="H1093">
        <f t="shared" si="102"/>
        <v>-4.06346860092116E-2</v>
      </c>
      <c r="I1093">
        <f t="shared" si="103"/>
        <v>9.8169724335311244E-3</v>
      </c>
      <c r="J1093">
        <f t="shared" si="104"/>
        <v>9.4906804483211524E-3</v>
      </c>
      <c r="K1093">
        <f t="shared" si="105"/>
        <v>-4.3050496993710906E-3</v>
      </c>
      <c r="L1093">
        <f t="shared" si="106"/>
        <v>1.887068227807065E-2</v>
      </c>
      <c r="M1093">
        <f t="shared" si="107"/>
        <v>1.6959779901181062E-3</v>
      </c>
    </row>
    <row r="1094" spans="1:13" x14ac:dyDescent="0.2">
      <c r="A1094" s="6">
        <v>44337</v>
      </c>
      <c r="B1094" s="7">
        <v>14.58</v>
      </c>
      <c r="C1094" s="7">
        <v>118.24</v>
      </c>
      <c r="D1094" s="7">
        <v>327.11</v>
      </c>
      <c r="E1094" s="7">
        <v>160.15</v>
      </c>
      <c r="F1094" s="7">
        <v>43.15</v>
      </c>
      <c r="G1094" s="7">
        <v>271.14999999999998</v>
      </c>
      <c r="H1094">
        <f t="shared" si="102"/>
        <v>-2.5060573256183258E-2</v>
      </c>
      <c r="I1094">
        <f t="shared" si="103"/>
        <v>4.4075338346195106E-3</v>
      </c>
      <c r="J1094">
        <f t="shared" si="104"/>
        <v>-6.1139642963421666E-5</v>
      </c>
      <c r="K1094">
        <f t="shared" si="105"/>
        <v>-1.3027479529032151E-2</v>
      </c>
      <c r="L1094">
        <f t="shared" si="106"/>
        <v>-4.1628182223810766E-3</v>
      </c>
      <c r="M1094">
        <f t="shared" si="107"/>
        <v>-1.1426255827493529E-3</v>
      </c>
    </row>
    <row r="1095" spans="1:13" x14ac:dyDescent="0.2">
      <c r="A1095" s="6">
        <v>44336</v>
      </c>
      <c r="B1095" s="7">
        <v>14.03</v>
      </c>
      <c r="C1095" s="7">
        <v>117.04</v>
      </c>
      <c r="D1095" s="7">
        <v>326.72000000000003</v>
      </c>
      <c r="E1095" s="7">
        <v>162.38</v>
      </c>
      <c r="F1095" s="7">
        <v>44.04</v>
      </c>
      <c r="G1095" s="7">
        <v>274.44</v>
      </c>
      <c r="H1095">
        <f t="shared" si="102"/>
        <v>-3.8452832466142554E-2</v>
      </c>
      <c r="I1095">
        <f t="shared" si="103"/>
        <v>-1.0200700488022676E-2</v>
      </c>
      <c r="J1095">
        <f t="shared" si="104"/>
        <v>-1.1929707913473379E-3</v>
      </c>
      <c r="K1095">
        <f t="shared" si="105"/>
        <v>1.3828391379133231E-2</v>
      </c>
      <c r="L1095">
        <f t="shared" si="106"/>
        <v>2.0415894325042233E-2</v>
      </c>
      <c r="M1095">
        <f t="shared" si="107"/>
        <v>1.2060484535620475E-2</v>
      </c>
    </row>
    <row r="1096" spans="1:13" x14ac:dyDescent="0.2">
      <c r="A1096" s="6">
        <v>44335</v>
      </c>
      <c r="B1096" s="7">
        <v>13.98</v>
      </c>
      <c r="C1096" s="7">
        <v>117.32</v>
      </c>
      <c r="D1096" s="7">
        <v>330.71</v>
      </c>
      <c r="E1096" s="7">
        <v>161.59</v>
      </c>
      <c r="F1096" s="7">
        <v>44.22</v>
      </c>
      <c r="G1096" s="7">
        <v>277.01</v>
      </c>
      <c r="H1096">
        <f t="shared" si="102"/>
        <v>-3.5701573087053144E-3</v>
      </c>
      <c r="I1096">
        <f t="shared" si="103"/>
        <v>2.3894873973812638E-3</v>
      </c>
      <c r="J1096">
        <f t="shared" si="104"/>
        <v>1.2138323441469218E-2</v>
      </c>
      <c r="K1096">
        <f t="shared" si="105"/>
        <v>-4.8770044501438813E-3</v>
      </c>
      <c r="L1096">
        <f t="shared" si="106"/>
        <v>4.0788635748210279E-3</v>
      </c>
      <c r="M1096">
        <f t="shared" si="107"/>
        <v>9.32094879605244E-3</v>
      </c>
    </row>
    <row r="1097" spans="1:13" x14ac:dyDescent="0.2">
      <c r="A1097" s="6">
        <v>44334</v>
      </c>
      <c r="B1097" s="7">
        <v>14.13</v>
      </c>
      <c r="C1097" s="7">
        <v>118.2</v>
      </c>
      <c r="D1097" s="7">
        <v>325.64999999999998</v>
      </c>
      <c r="E1097" s="7">
        <v>161.61000000000001</v>
      </c>
      <c r="F1097" s="7">
        <v>44.28</v>
      </c>
      <c r="G1097" s="7">
        <v>278.31</v>
      </c>
      <c r="H1097">
        <f t="shared" si="102"/>
        <v>1.0672459890771979E-2</v>
      </c>
      <c r="I1097">
        <f t="shared" si="103"/>
        <v>7.4728608627477227E-3</v>
      </c>
      <c r="J1097">
        <f t="shared" si="104"/>
        <v>-1.5418673425359571E-2</v>
      </c>
      <c r="K1097">
        <f t="shared" si="105"/>
        <v>1.2376237639566594E-4</v>
      </c>
      <c r="L1097">
        <f t="shared" si="106"/>
        <v>1.355932411135997E-3</v>
      </c>
      <c r="M1097">
        <f t="shared" si="107"/>
        <v>4.6819937145473455E-3</v>
      </c>
    </row>
    <row r="1098" spans="1:13" x14ac:dyDescent="0.2">
      <c r="A1098" s="6">
        <v>44333</v>
      </c>
      <c r="B1098" s="7">
        <v>14.21</v>
      </c>
      <c r="C1098" s="7">
        <v>117.33</v>
      </c>
      <c r="D1098" s="7">
        <v>325.77999999999997</v>
      </c>
      <c r="E1098" s="7">
        <v>163.52000000000001</v>
      </c>
      <c r="F1098" s="7">
        <v>44.01</v>
      </c>
      <c r="G1098" s="7">
        <v>276.11</v>
      </c>
      <c r="H1098">
        <f t="shared" si="102"/>
        <v>5.6457454125731221E-3</v>
      </c>
      <c r="I1098">
        <f t="shared" si="103"/>
        <v>-7.3876275364653859E-3</v>
      </c>
      <c r="J1098">
        <f t="shared" si="104"/>
        <v>3.9912193704844801E-4</v>
      </c>
      <c r="K1098">
        <f t="shared" si="105"/>
        <v>1.1749281654787528E-2</v>
      </c>
      <c r="L1098">
        <f t="shared" si="106"/>
        <v>-6.1162270174362054E-3</v>
      </c>
      <c r="M1098">
        <f t="shared" si="107"/>
        <v>-7.9362632917461783E-3</v>
      </c>
    </row>
    <row r="1099" spans="1:13" x14ac:dyDescent="0.2">
      <c r="A1099" s="6">
        <v>44330</v>
      </c>
      <c r="B1099" s="7">
        <v>13.63</v>
      </c>
      <c r="C1099" s="7">
        <v>117.24</v>
      </c>
      <c r="D1099" s="7">
        <v>322.64</v>
      </c>
      <c r="E1099" s="7">
        <v>161.15</v>
      </c>
      <c r="F1099" s="7">
        <v>43.75</v>
      </c>
      <c r="G1099" s="7">
        <v>275.24</v>
      </c>
      <c r="H1099">
        <f t="shared" si="102"/>
        <v>-4.1672696400568074E-2</v>
      </c>
      <c r="I1099">
        <f t="shared" si="103"/>
        <v>-7.67361592840833E-4</v>
      </c>
      <c r="J1099">
        <f t="shared" si="104"/>
        <v>-9.6851563643462566E-3</v>
      </c>
      <c r="K1099">
        <f t="shared" si="105"/>
        <v>-1.459969875389279E-2</v>
      </c>
      <c r="L1099">
        <f t="shared" si="106"/>
        <v>-5.9252680193765247E-3</v>
      </c>
      <c r="M1099">
        <f t="shared" si="107"/>
        <v>-3.1558927072645529E-3</v>
      </c>
    </row>
    <row r="1100" spans="1:13" x14ac:dyDescent="0.2">
      <c r="A1100" s="6">
        <v>44329</v>
      </c>
      <c r="B1100" s="7">
        <v>13.72</v>
      </c>
      <c r="C1100" s="7">
        <v>113.92</v>
      </c>
      <c r="D1100" s="7">
        <v>314.29000000000002</v>
      </c>
      <c r="E1100" s="7">
        <v>158.07</v>
      </c>
      <c r="F1100" s="7">
        <v>43.99</v>
      </c>
      <c r="G1100" s="7">
        <v>278.43</v>
      </c>
      <c r="H1100">
        <f t="shared" si="102"/>
        <v>6.581376589297994E-3</v>
      </c>
      <c r="I1100">
        <f t="shared" si="103"/>
        <v>-2.8726668179026013E-2</v>
      </c>
      <c r="J1100">
        <f t="shared" si="104"/>
        <v>-2.6221024003356651E-2</v>
      </c>
      <c r="K1100">
        <f t="shared" si="105"/>
        <v>-1.9297635372142796E-2</v>
      </c>
      <c r="L1100">
        <f t="shared" si="106"/>
        <v>5.4707225570049846E-3</v>
      </c>
      <c r="M1100">
        <f t="shared" si="107"/>
        <v>1.1523236941132121E-2</v>
      </c>
    </row>
    <row r="1101" spans="1:13" x14ac:dyDescent="0.2">
      <c r="A1101" s="6">
        <v>44328</v>
      </c>
      <c r="B1101" s="7">
        <v>14.27</v>
      </c>
      <c r="C1101" s="7">
        <v>114.56</v>
      </c>
      <c r="D1101" s="7">
        <v>316.66000000000003</v>
      </c>
      <c r="E1101" s="7">
        <v>157.6</v>
      </c>
      <c r="F1101" s="7">
        <v>44.33</v>
      </c>
      <c r="G1101" s="7">
        <v>277.58</v>
      </c>
      <c r="H1101">
        <f t="shared" si="102"/>
        <v>3.9304809191005902E-2</v>
      </c>
      <c r="I1101">
        <f t="shared" si="103"/>
        <v>5.6022555486697516E-3</v>
      </c>
      <c r="J1101">
        <f t="shared" si="104"/>
        <v>7.5125165115322214E-3</v>
      </c>
      <c r="K1101">
        <f t="shared" si="105"/>
        <v>-2.9777954655253614E-3</v>
      </c>
      <c r="L1101">
        <f t="shared" si="106"/>
        <v>7.6993133963336397E-3</v>
      </c>
      <c r="M1101">
        <f t="shared" si="107"/>
        <v>-3.0575013477175017E-3</v>
      </c>
    </row>
    <row r="1102" spans="1:13" x14ac:dyDescent="0.2">
      <c r="A1102" s="6">
        <v>44327</v>
      </c>
      <c r="B1102" s="7">
        <v>14.23</v>
      </c>
      <c r="C1102" s="7">
        <v>112.8</v>
      </c>
      <c r="D1102" s="7">
        <v>311.67</v>
      </c>
      <c r="E1102" s="7">
        <v>161.19999999999999</v>
      </c>
      <c r="F1102" s="7">
        <v>44.63</v>
      </c>
      <c r="G1102" s="7">
        <v>278.52999999999997</v>
      </c>
      <c r="H1102">
        <f t="shared" si="102"/>
        <v>-2.8070193869839978E-3</v>
      </c>
      <c r="I1102">
        <f t="shared" si="103"/>
        <v>-1.5482364148376988E-2</v>
      </c>
      <c r="J1102">
        <f t="shared" si="104"/>
        <v>-1.5883707322738163E-2</v>
      </c>
      <c r="K1102">
        <f t="shared" si="105"/>
        <v>2.258565264874907E-2</v>
      </c>
      <c r="L1102">
        <f t="shared" si="106"/>
        <v>6.7446298842165449E-3</v>
      </c>
      <c r="M1102">
        <f t="shared" si="107"/>
        <v>3.4165935664568184E-3</v>
      </c>
    </row>
    <row r="1103" spans="1:13" x14ac:dyDescent="0.2">
      <c r="A1103" s="6">
        <v>44326</v>
      </c>
      <c r="B1103" s="7">
        <v>14.78</v>
      </c>
      <c r="C1103" s="7">
        <v>112.35</v>
      </c>
      <c r="D1103" s="7">
        <v>308.06</v>
      </c>
      <c r="E1103" s="7">
        <v>159.52000000000001</v>
      </c>
      <c r="F1103" s="7">
        <v>44.55</v>
      </c>
      <c r="G1103" s="7">
        <v>278.89999999999998</v>
      </c>
      <c r="H1103">
        <f t="shared" si="102"/>
        <v>3.7922503418294597E-2</v>
      </c>
      <c r="I1103">
        <f t="shared" si="103"/>
        <v>-3.9973404326204007E-3</v>
      </c>
      <c r="J1103">
        <f t="shared" si="104"/>
        <v>-1.1650366554238498E-2</v>
      </c>
      <c r="K1103">
        <f t="shared" si="105"/>
        <v>-1.0476523858999614E-2</v>
      </c>
      <c r="L1103">
        <f t="shared" si="106"/>
        <v>-1.794124724360333E-3</v>
      </c>
      <c r="M1103">
        <f t="shared" si="107"/>
        <v>1.3275211392926886E-3</v>
      </c>
    </row>
    <row r="1104" spans="1:13" x14ac:dyDescent="0.2">
      <c r="A1104" s="6">
        <v>44322</v>
      </c>
      <c r="B1104" s="7">
        <v>14.42</v>
      </c>
      <c r="C1104" s="7">
        <v>113.14</v>
      </c>
      <c r="D1104" s="7">
        <v>314</v>
      </c>
      <c r="E1104" s="7">
        <v>165.32</v>
      </c>
      <c r="F1104" s="7">
        <v>44.57</v>
      </c>
      <c r="G1104" s="7">
        <v>280.51</v>
      </c>
      <c r="H1104">
        <f t="shared" si="102"/>
        <v>-2.4658783663252665E-2</v>
      </c>
      <c r="I1104">
        <f t="shared" si="103"/>
        <v>7.0069912836714749E-3</v>
      </c>
      <c r="J1104">
        <f t="shared" si="104"/>
        <v>1.9098416711941874E-2</v>
      </c>
      <c r="K1104">
        <f t="shared" si="105"/>
        <v>3.5713683430003397E-2</v>
      </c>
      <c r="L1104">
        <f t="shared" si="106"/>
        <v>4.4883304164631177E-4</v>
      </c>
      <c r="M1104">
        <f t="shared" si="107"/>
        <v>5.7560803177253038E-3</v>
      </c>
    </row>
    <row r="1105" spans="1:13" x14ac:dyDescent="0.2">
      <c r="A1105" s="6">
        <v>44321</v>
      </c>
      <c r="B1105" s="7">
        <v>14.32</v>
      </c>
      <c r="C1105" s="7">
        <v>110.69</v>
      </c>
      <c r="D1105" s="7">
        <v>303.39</v>
      </c>
      <c r="E1105" s="7">
        <v>163.53</v>
      </c>
      <c r="F1105" s="7">
        <v>44.68</v>
      </c>
      <c r="G1105" s="7">
        <v>281.79000000000002</v>
      </c>
      <c r="H1105">
        <f t="shared" si="102"/>
        <v>-6.9589703243034574E-3</v>
      </c>
      <c r="I1105">
        <f t="shared" si="103"/>
        <v>-2.1892488517477091E-2</v>
      </c>
      <c r="J1105">
        <f t="shared" si="104"/>
        <v>-3.4373879326064692E-2</v>
      </c>
      <c r="K1105">
        <f t="shared" si="105"/>
        <v>-1.0886529899232358E-2</v>
      </c>
      <c r="L1105">
        <f t="shared" si="106"/>
        <v>2.4649872425354033E-3</v>
      </c>
      <c r="M1105">
        <f t="shared" si="107"/>
        <v>4.5527377233653523E-3</v>
      </c>
    </row>
    <row r="1106" spans="1:13" x14ac:dyDescent="0.2">
      <c r="A1106" s="6">
        <v>44320</v>
      </c>
      <c r="B1106" s="7">
        <v>14.8</v>
      </c>
      <c r="C1106" s="7">
        <v>109.26</v>
      </c>
      <c r="D1106" s="7">
        <v>300.7</v>
      </c>
      <c r="E1106" s="7">
        <v>165.59</v>
      </c>
      <c r="F1106" s="7">
        <v>44.58</v>
      </c>
      <c r="G1106" s="7">
        <v>284.11</v>
      </c>
      <c r="H1106">
        <f t="shared" si="102"/>
        <v>3.2970019237569897E-2</v>
      </c>
      <c r="I1106">
        <f t="shared" si="103"/>
        <v>-1.3003138429960984E-2</v>
      </c>
      <c r="J1106">
        <f t="shared" si="104"/>
        <v>-8.9060165877053454E-3</v>
      </c>
      <c r="K1106">
        <f t="shared" si="105"/>
        <v>1.2518393910093626E-2</v>
      </c>
      <c r="L1106">
        <f t="shared" si="106"/>
        <v>-2.2406462432772467E-3</v>
      </c>
      <c r="M1106">
        <f t="shared" si="107"/>
        <v>8.1993744397788112E-3</v>
      </c>
    </row>
    <row r="1107" spans="1:13" x14ac:dyDescent="0.2">
      <c r="A1107" s="6">
        <v>44319</v>
      </c>
      <c r="B1107" s="7">
        <v>14.97</v>
      </c>
      <c r="C1107" s="7">
        <v>112.73</v>
      </c>
      <c r="D1107" s="7">
        <v>304.64999999999998</v>
      </c>
      <c r="E1107" s="7">
        <v>169.32</v>
      </c>
      <c r="F1107" s="7">
        <v>44.73</v>
      </c>
      <c r="G1107" s="7">
        <v>283.99</v>
      </c>
      <c r="H1107">
        <f t="shared" si="102"/>
        <v>1.1421017661467659E-2</v>
      </c>
      <c r="I1107">
        <f t="shared" si="103"/>
        <v>3.1265216088868376E-2</v>
      </c>
      <c r="J1107">
        <f t="shared" si="104"/>
        <v>1.3050486700020023E-2</v>
      </c>
      <c r="K1107">
        <f t="shared" si="105"/>
        <v>2.2275561998329932E-2</v>
      </c>
      <c r="L1107">
        <f t="shared" si="106"/>
        <v>3.3590894870339444E-3</v>
      </c>
      <c r="M1107">
        <f t="shared" si="107"/>
        <v>-4.2246084064333803E-4</v>
      </c>
    </row>
    <row r="1108" spans="1:13" x14ac:dyDescent="0.2">
      <c r="A1108" s="6">
        <v>44316</v>
      </c>
      <c r="B1108" s="7">
        <v>15.29</v>
      </c>
      <c r="C1108" s="7">
        <v>113.8</v>
      </c>
      <c r="D1108" s="7">
        <v>304.10000000000002</v>
      </c>
      <c r="E1108" s="7">
        <v>173.37</v>
      </c>
      <c r="F1108" s="7">
        <v>44.78</v>
      </c>
      <c r="G1108" s="7">
        <v>282.7</v>
      </c>
      <c r="H1108">
        <f t="shared" si="102"/>
        <v>2.1150821509433822E-2</v>
      </c>
      <c r="I1108">
        <f t="shared" si="103"/>
        <v>9.4469426357904548E-3</v>
      </c>
      <c r="J1108">
        <f t="shared" si="104"/>
        <v>-1.8069820111842629E-3</v>
      </c>
      <c r="K1108">
        <f t="shared" si="105"/>
        <v>2.363762334507331E-2</v>
      </c>
      <c r="L1108">
        <f t="shared" si="106"/>
        <v>1.1171937258521701E-3</v>
      </c>
      <c r="M1108">
        <f t="shared" si="107"/>
        <v>-4.552761574124614E-3</v>
      </c>
    </row>
    <row r="1109" spans="1:13" x14ac:dyDescent="0.2">
      <c r="A1109" s="6">
        <v>44315</v>
      </c>
      <c r="B1109" s="7">
        <v>15.24</v>
      </c>
      <c r="C1109" s="7">
        <v>116.79</v>
      </c>
      <c r="D1109" s="7">
        <v>317.13</v>
      </c>
      <c r="E1109" s="7">
        <v>173.57</v>
      </c>
      <c r="F1109" s="7">
        <v>44.6</v>
      </c>
      <c r="G1109" s="7">
        <v>282.19</v>
      </c>
      <c r="H1109">
        <f t="shared" si="102"/>
        <v>-3.2754696824706469E-3</v>
      </c>
      <c r="I1109">
        <f t="shared" si="103"/>
        <v>2.5934928598243555E-2</v>
      </c>
      <c r="J1109">
        <f t="shared" si="104"/>
        <v>4.1955189765362291E-2</v>
      </c>
      <c r="K1109">
        <f t="shared" si="105"/>
        <v>1.1529372349940036E-3</v>
      </c>
      <c r="L1109">
        <f t="shared" si="106"/>
        <v>-4.0277521445903569E-3</v>
      </c>
      <c r="M1109">
        <f t="shared" si="107"/>
        <v>-1.8056617697874259E-3</v>
      </c>
    </row>
    <row r="1110" spans="1:13" x14ac:dyDescent="0.2">
      <c r="A1110" s="6">
        <v>44314</v>
      </c>
      <c r="B1110" s="7">
        <v>15.34</v>
      </c>
      <c r="C1110" s="7">
        <v>116.07</v>
      </c>
      <c r="D1110" s="7">
        <v>318.06</v>
      </c>
      <c r="E1110" s="7">
        <v>172.93</v>
      </c>
      <c r="F1110" s="7">
        <v>44.59</v>
      </c>
      <c r="G1110" s="7">
        <v>280.48</v>
      </c>
      <c r="H1110">
        <f t="shared" si="102"/>
        <v>6.5402456806099747E-3</v>
      </c>
      <c r="I1110">
        <f t="shared" si="103"/>
        <v>-6.1839929099428521E-3</v>
      </c>
      <c r="J1110">
        <f t="shared" si="104"/>
        <v>2.9282597790883597E-3</v>
      </c>
      <c r="K1110">
        <f t="shared" si="105"/>
        <v>-3.6940878949593124E-3</v>
      </c>
      <c r="L1110">
        <f t="shared" si="106"/>
        <v>-2.2424038663306804E-4</v>
      </c>
      <c r="M1110">
        <f t="shared" si="107"/>
        <v>-6.0781817568327902E-3</v>
      </c>
    </row>
    <row r="1111" spans="1:13" x14ac:dyDescent="0.2">
      <c r="A1111" s="6">
        <v>44313</v>
      </c>
      <c r="B1111" s="7">
        <v>15.44</v>
      </c>
      <c r="C1111" s="7">
        <v>114.95</v>
      </c>
      <c r="D1111" s="7">
        <v>313.08999999999997</v>
      </c>
      <c r="E1111" s="7">
        <v>170.87</v>
      </c>
      <c r="F1111" s="7">
        <v>44.81</v>
      </c>
      <c r="G1111" s="7">
        <v>281.31</v>
      </c>
      <c r="H1111">
        <f t="shared" si="102"/>
        <v>6.4977486575199502E-3</v>
      </c>
      <c r="I1111">
        <f t="shared" si="103"/>
        <v>-9.6962061713406801E-3</v>
      </c>
      <c r="J1111">
        <f t="shared" si="104"/>
        <v>-1.574935508319901E-2</v>
      </c>
      <c r="K1111">
        <f t="shared" si="105"/>
        <v>-1.1983854877648826E-2</v>
      </c>
      <c r="L1111">
        <f t="shared" si="106"/>
        <v>4.9217101586664386E-3</v>
      </c>
      <c r="M1111">
        <f t="shared" si="107"/>
        <v>2.954842926719064E-3</v>
      </c>
    </row>
    <row r="1112" spans="1:13" x14ac:dyDescent="0.2">
      <c r="A1112" s="6">
        <v>44312</v>
      </c>
      <c r="B1112" s="7">
        <v>15.23</v>
      </c>
      <c r="C1112" s="7">
        <v>114.55</v>
      </c>
      <c r="D1112" s="7">
        <v>316.41000000000003</v>
      </c>
      <c r="E1112" s="7">
        <v>170.45</v>
      </c>
      <c r="F1112" s="7">
        <v>44.65</v>
      </c>
      <c r="G1112" s="7">
        <v>281.43</v>
      </c>
      <c r="H1112">
        <f t="shared" si="102"/>
        <v>-1.3694377689559606E-2</v>
      </c>
      <c r="I1112">
        <f t="shared" si="103"/>
        <v>-3.4858423096860857E-3</v>
      </c>
      <c r="J1112">
        <f t="shared" si="104"/>
        <v>1.0548151812061946E-2</v>
      </c>
      <c r="K1112">
        <f t="shared" si="105"/>
        <v>-2.4610348762699598E-3</v>
      </c>
      <c r="L1112">
        <f t="shared" si="106"/>
        <v>-3.5770214755436831E-3</v>
      </c>
      <c r="M1112">
        <f t="shared" si="107"/>
        <v>4.2648470632582642E-4</v>
      </c>
    </row>
    <row r="1113" spans="1:13" x14ac:dyDescent="0.2">
      <c r="A1113" s="6">
        <v>44309</v>
      </c>
      <c r="B1113" s="7">
        <v>14.81</v>
      </c>
      <c r="C1113" s="7">
        <v>116.35</v>
      </c>
      <c r="D1113" s="7">
        <v>320.60000000000002</v>
      </c>
      <c r="E1113" s="7">
        <v>167.04</v>
      </c>
      <c r="F1113" s="7">
        <v>44.65</v>
      </c>
      <c r="G1113" s="7">
        <v>280.14</v>
      </c>
      <c r="H1113">
        <f t="shared" si="102"/>
        <v>-2.7964538627363079E-2</v>
      </c>
      <c r="I1113">
        <f t="shared" si="103"/>
        <v>1.5591480848796255E-2</v>
      </c>
      <c r="J1113">
        <f t="shared" si="104"/>
        <v>1.3155399218819953E-2</v>
      </c>
      <c r="K1113">
        <f t="shared" si="105"/>
        <v>-2.0208693889638144E-2</v>
      </c>
      <c r="L1113">
        <f t="shared" si="106"/>
        <v>0</v>
      </c>
      <c r="M1113">
        <f t="shared" si="107"/>
        <v>-4.5942705950687297E-3</v>
      </c>
    </row>
    <row r="1114" spans="1:13" x14ac:dyDescent="0.2">
      <c r="A1114" s="6">
        <v>44308</v>
      </c>
      <c r="B1114" s="7">
        <v>15.32</v>
      </c>
      <c r="C1114" s="7">
        <v>116.87</v>
      </c>
      <c r="D1114" s="7">
        <v>323.08999999999997</v>
      </c>
      <c r="E1114" s="7">
        <v>165.45</v>
      </c>
      <c r="F1114" s="7">
        <v>43.7</v>
      </c>
      <c r="G1114" s="7">
        <v>282.19</v>
      </c>
      <c r="H1114">
        <f t="shared" si="102"/>
        <v>3.3856536032737888E-2</v>
      </c>
      <c r="I1114">
        <f t="shared" si="103"/>
        <v>4.4593161967648974E-3</v>
      </c>
      <c r="J1114">
        <f t="shared" si="104"/>
        <v>7.7366820058075532E-3</v>
      </c>
      <c r="K1114">
        <f t="shared" si="105"/>
        <v>-9.564270326652748E-3</v>
      </c>
      <c r="L1114">
        <f t="shared" si="106"/>
        <v>-2.1506205220963505E-2</v>
      </c>
      <c r="M1114">
        <f t="shared" si="107"/>
        <v>7.2911247188566846E-3</v>
      </c>
    </row>
    <row r="1115" spans="1:13" x14ac:dyDescent="0.2">
      <c r="A1115" s="6">
        <v>44307</v>
      </c>
      <c r="B1115" s="7">
        <v>15.13</v>
      </c>
      <c r="C1115" s="7">
        <v>118.82</v>
      </c>
      <c r="D1115" s="7">
        <v>327.49</v>
      </c>
      <c r="E1115" s="7">
        <v>168.1</v>
      </c>
      <c r="F1115" s="7">
        <v>43.89</v>
      </c>
      <c r="G1115" s="7">
        <v>285.08999999999997</v>
      </c>
      <c r="H1115">
        <f t="shared" si="102"/>
        <v>-1.2479636512180613E-2</v>
      </c>
      <c r="I1115">
        <f t="shared" si="103"/>
        <v>1.6547536982529691E-2</v>
      </c>
      <c r="J1115">
        <f t="shared" si="104"/>
        <v>1.3526598076718636E-2</v>
      </c>
      <c r="K1115">
        <f t="shared" si="105"/>
        <v>1.5890006046948894E-2</v>
      </c>
      <c r="L1115">
        <f t="shared" si="106"/>
        <v>4.3384015985981411E-3</v>
      </c>
      <c r="M1115">
        <f t="shared" si="107"/>
        <v>1.0224316961576344E-2</v>
      </c>
    </row>
    <row r="1116" spans="1:13" x14ac:dyDescent="0.2">
      <c r="A1116" s="6">
        <v>44306</v>
      </c>
      <c r="B1116" s="7">
        <v>15.32</v>
      </c>
      <c r="C1116" s="7">
        <v>117.14</v>
      </c>
      <c r="D1116" s="7">
        <v>305.22000000000003</v>
      </c>
      <c r="E1116" s="7">
        <v>166.73</v>
      </c>
      <c r="F1116" s="7">
        <v>43.49</v>
      </c>
      <c r="G1116" s="7">
        <v>288.32</v>
      </c>
      <c r="H1116">
        <f t="shared" si="102"/>
        <v>1.2479636512180656E-2</v>
      </c>
      <c r="I1116">
        <f t="shared" si="103"/>
        <v>-1.4239942265959055E-2</v>
      </c>
      <c r="J1116">
        <f t="shared" si="104"/>
        <v>-7.0424692195250119E-2</v>
      </c>
      <c r="K1116">
        <f t="shared" si="105"/>
        <v>-8.1833028422024084E-3</v>
      </c>
      <c r="L1116">
        <f t="shared" si="106"/>
        <v>-9.1554770905955887E-3</v>
      </c>
      <c r="M1116">
        <f t="shared" si="107"/>
        <v>1.1266054528639567E-2</v>
      </c>
    </row>
    <row r="1117" spans="1:13" x14ac:dyDescent="0.2">
      <c r="A1117" s="6">
        <v>44305</v>
      </c>
      <c r="B1117" s="7">
        <v>15.87</v>
      </c>
      <c r="C1117" s="7">
        <v>113.76</v>
      </c>
      <c r="D1117" s="7">
        <v>301.70999999999998</v>
      </c>
      <c r="E1117" s="7">
        <v>168.6</v>
      </c>
      <c r="F1117" s="7">
        <v>42.77</v>
      </c>
      <c r="G1117" s="7">
        <v>289.91000000000003</v>
      </c>
      <c r="H1117">
        <f t="shared" si="102"/>
        <v>3.5271370225872505E-2</v>
      </c>
      <c r="I1117">
        <f t="shared" si="103"/>
        <v>-2.9278834606705419E-2</v>
      </c>
      <c r="J1117">
        <f t="shared" si="104"/>
        <v>-1.1566536938230086E-2</v>
      </c>
      <c r="K1117">
        <f t="shared" si="105"/>
        <v>1.1153307995387562E-2</v>
      </c>
      <c r="L1117">
        <f t="shared" si="106"/>
        <v>-1.6694104370729768E-2</v>
      </c>
      <c r="M1117">
        <f t="shared" si="107"/>
        <v>5.4995555660386697E-3</v>
      </c>
    </row>
    <row r="1118" spans="1:13" x14ac:dyDescent="0.2">
      <c r="A1118" s="6">
        <v>44302</v>
      </c>
      <c r="B1118" s="7">
        <v>16.100000000000001</v>
      </c>
      <c r="C1118" s="7">
        <v>114.71</v>
      </c>
      <c r="D1118" s="7">
        <v>301.18</v>
      </c>
      <c r="E1118" s="7">
        <v>169.97</v>
      </c>
      <c r="F1118" s="7">
        <v>43.9</v>
      </c>
      <c r="G1118" s="7">
        <v>282.41000000000003</v>
      </c>
      <c r="H1118">
        <f t="shared" si="102"/>
        <v>1.4388737452099671E-2</v>
      </c>
      <c r="I1118">
        <f t="shared" si="103"/>
        <v>8.3162382382453732E-3</v>
      </c>
      <c r="J1118">
        <f t="shared" si="104"/>
        <v>-1.7581984658252797E-3</v>
      </c>
      <c r="K1118">
        <f t="shared" si="105"/>
        <v>8.0929053215051151E-3</v>
      </c>
      <c r="L1118">
        <f t="shared" si="106"/>
        <v>2.6077397842308201E-2</v>
      </c>
      <c r="M1118">
        <f t="shared" si="107"/>
        <v>-2.6210614228998522E-2</v>
      </c>
    </row>
    <row r="1119" spans="1:13" x14ac:dyDescent="0.2">
      <c r="A1119" s="6">
        <v>44301</v>
      </c>
      <c r="B1119" s="7">
        <v>15.24</v>
      </c>
      <c r="C1119" s="7">
        <v>114.21</v>
      </c>
      <c r="D1119" s="7">
        <v>299.29000000000002</v>
      </c>
      <c r="E1119" s="7">
        <v>168.95</v>
      </c>
      <c r="F1119" s="7">
        <v>44.3</v>
      </c>
      <c r="G1119" s="7">
        <v>294.58</v>
      </c>
      <c r="H1119">
        <f t="shared" si="102"/>
        <v>-5.4895721731917153E-2</v>
      </c>
      <c r="I1119">
        <f t="shared" si="103"/>
        <v>-4.3683452306606243E-3</v>
      </c>
      <c r="J1119">
        <f t="shared" si="104"/>
        <v>-6.2950896512067806E-3</v>
      </c>
      <c r="K1119">
        <f t="shared" si="105"/>
        <v>-6.0191377289612429E-3</v>
      </c>
      <c r="L1119">
        <f t="shared" si="106"/>
        <v>9.0703569699642789E-3</v>
      </c>
      <c r="M1119">
        <f t="shared" si="107"/>
        <v>4.2190697304383601E-2</v>
      </c>
    </row>
    <row r="1120" spans="1:13" x14ac:dyDescent="0.2">
      <c r="A1120" s="6">
        <v>44300</v>
      </c>
      <c r="B1120" s="7">
        <v>15.64</v>
      </c>
      <c r="C1120" s="7">
        <v>111.85</v>
      </c>
      <c r="D1120" s="7">
        <v>294.7</v>
      </c>
      <c r="E1120" s="7">
        <v>166.65</v>
      </c>
      <c r="F1120" s="7">
        <v>44.11</v>
      </c>
      <c r="G1120" s="7">
        <v>303.89999999999998</v>
      </c>
      <c r="H1120">
        <f t="shared" si="102"/>
        <v>2.5908184858664834E-2</v>
      </c>
      <c r="I1120">
        <f t="shared" si="103"/>
        <v>-2.0880171126377068E-2</v>
      </c>
      <c r="J1120">
        <f t="shared" si="104"/>
        <v>-1.5455113263817622E-2</v>
      </c>
      <c r="K1120">
        <f t="shared" si="105"/>
        <v>-1.3707008406550123E-2</v>
      </c>
      <c r="L1120">
        <f t="shared" si="106"/>
        <v>-4.298162934241595E-3</v>
      </c>
      <c r="M1120">
        <f t="shared" si="107"/>
        <v>3.1148086861350378E-2</v>
      </c>
    </row>
    <row r="1121" spans="1:13" x14ac:dyDescent="0.2">
      <c r="A1121" s="6">
        <v>44298</v>
      </c>
      <c r="B1121" s="7">
        <v>14.36</v>
      </c>
      <c r="C1121" s="7">
        <v>113.17</v>
      </c>
      <c r="D1121" s="7">
        <v>300.8</v>
      </c>
      <c r="E1121" s="7">
        <v>168.97</v>
      </c>
      <c r="F1121" s="7">
        <v>44.37</v>
      </c>
      <c r="G1121" s="7">
        <v>300.74</v>
      </c>
      <c r="H1121">
        <f t="shared" si="102"/>
        <v>-8.5385171497086979E-2</v>
      </c>
      <c r="I1121">
        <f t="shared" si="103"/>
        <v>1.1732425041711646E-2</v>
      </c>
      <c r="J1121">
        <f t="shared" si="104"/>
        <v>2.0487702332035757E-2</v>
      </c>
      <c r="K1121">
        <f t="shared" si="105"/>
        <v>1.3825379618809606E-2</v>
      </c>
      <c r="L1121">
        <f t="shared" si="106"/>
        <v>5.8770512739698168E-3</v>
      </c>
      <c r="M1121">
        <f t="shared" si="107"/>
        <v>-1.0452595828573193E-2</v>
      </c>
    </row>
    <row r="1122" spans="1:13" x14ac:dyDescent="0.2">
      <c r="A1122" s="6">
        <v>44295</v>
      </c>
      <c r="B1122" s="7">
        <v>14.28</v>
      </c>
      <c r="C1122" s="7">
        <v>113.7</v>
      </c>
      <c r="D1122" s="7">
        <v>300.39</v>
      </c>
      <c r="E1122" s="7">
        <v>168.61</v>
      </c>
      <c r="F1122" s="7">
        <v>44.06</v>
      </c>
      <c r="G1122" s="7">
        <v>295.82</v>
      </c>
      <c r="H1122">
        <f t="shared" si="102"/>
        <v>-5.5866067086398231E-3</v>
      </c>
      <c r="I1122">
        <f t="shared" si="103"/>
        <v>4.6722877786401166E-3</v>
      </c>
      <c r="J1122">
        <f t="shared" si="104"/>
        <v>-1.3639616878637637E-3</v>
      </c>
      <c r="K1122">
        <f t="shared" si="105"/>
        <v>-2.1328285826690881E-3</v>
      </c>
      <c r="L1122">
        <f t="shared" si="106"/>
        <v>-7.0112240166209129E-3</v>
      </c>
      <c r="M1122">
        <f t="shared" si="107"/>
        <v>-1.6494942850950108E-2</v>
      </c>
    </row>
    <row r="1123" spans="1:13" x14ac:dyDescent="0.2">
      <c r="A1123" s="6">
        <v>44294</v>
      </c>
      <c r="B1123" s="7">
        <v>14.11</v>
      </c>
      <c r="C1123" s="7">
        <v>113.36</v>
      </c>
      <c r="D1123" s="7">
        <v>304.3</v>
      </c>
      <c r="E1123" s="7">
        <v>164.96</v>
      </c>
      <c r="F1123" s="7">
        <v>44.1</v>
      </c>
      <c r="G1123" s="7">
        <v>296.45999999999998</v>
      </c>
      <c r="H1123">
        <f t="shared" si="102"/>
        <v>-1.1976191046715649E-2</v>
      </c>
      <c r="I1123">
        <f t="shared" si="103"/>
        <v>-2.9948053740654233E-3</v>
      </c>
      <c r="J1123">
        <f t="shared" si="104"/>
        <v>1.2932426515104295E-2</v>
      </c>
      <c r="K1123">
        <f t="shared" si="105"/>
        <v>-2.1885335521239526E-2</v>
      </c>
      <c r="L1123">
        <f t="shared" si="106"/>
        <v>9.0744107860324375E-4</v>
      </c>
      <c r="M1123">
        <f t="shared" si="107"/>
        <v>2.1611408424895471E-3</v>
      </c>
    </row>
    <row r="1124" spans="1:13" x14ac:dyDescent="0.2">
      <c r="A1124" s="6">
        <v>44293</v>
      </c>
      <c r="B1124" s="7">
        <v>13.83</v>
      </c>
      <c r="C1124" s="7">
        <v>113.48</v>
      </c>
      <c r="D1124" s="7">
        <v>305.93</v>
      </c>
      <c r="E1124" s="7">
        <v>163.97</v>
      </c>
      <c r="F1124" s="7">
        <v>44.54</v>
      </c>
      <c r="G1124" s="7">
        <v>294.23</v>
      </c>
      <c r="H1124">
        <f t="shared" si="102"/>
        <v>-2.0043620188055774E-2</v>
      </c>
      <c r="I1124">
        <f t="shared" si="103"/>
        <v>1.0580145582257414E-3</v>
      </c>
      <c r="J1124">
        <f t="shared" si="104"/>
        <v>5.3422607103795769E-3</v>
      </c>
      <c r="K1124">
        <f t="shared" si="105"/>
        <v>-6.019536006872806E-3</v>
      </c>
      <c r="L1124">
        <f t="shared" si="106"/>
        <v>9.9278793764212524E-3</v>
      </c>
      <c r="M1124">
        <f t="shared" si="107"/>
        <v>-7.5505276691164623E-3</v>
      </c>
    </row>
    <row r="1125" spans="1:13" x14ac:dyDescent="0.2">
      <c r="A1125" s="6">
        <v>44292</v>
      </c>
      <c r="B1125" s="7">
        <v>13.95</v>
      </c>
      <c r="C1125" s="7">
        <v>111.33</v>
      </c>
      <c r="D1125" s="7">
        <v>300.95999999999998</v>
      </c>
      <c r="E1125" s="7">
        <v>161.19</v>
      </c>
      <c r="F1125" s="7">
        <v>43.84</v>
      </c>
      <c r="G1125" s="7">
        <v>288.35000000000002</v>
      </c>
      <c r="H1125">
        <f t="shared" si="102"/>
        <v>8.6393625907076402E-3</v>
      </c>
      <c r="I1125">
        <f t="shared" si="103"/>
        <v>-1.9127846200034684E-2</v>
      </c>
      <c r="J1125">
        <f t="shared" si="104"/>
        <v>-1.6378952060584848E-2</v>
      </c>
      <c r="K1125">
        <f t="shared" si="105"/>
        <v>-1.709969085293727E-2</v>
      </c>
      <c r="L1125">
        <f t="shared" si="106"/>
        <v>-1.5841019189461424E-2</v>
      </c>
      <c r="M1125">
        <f t="shared" si="107"/>
        <v>-2.0186754355175425E-2</v>
      </c>
    </row>
    <row r="1126" spans="1:13" x14ac:dyDescent="0.2">
      <c r="A1126" s="6">
        <v>44291</v>
      </c>
      <c r="B1126" s="7">
        <v>13.78</v>
      </c>
      <c r="C1126" s="7">
        <v>111.95</v>
      </c>
      <c r="D1126" s="7">
        <v>307.86</v>
      </c>
      <c r="E1126" s="7">
        <v>161.34</v>
      </c>
      <c r="F1126" s="7">
        <v>43.76</v>
      </c>
      <c r="G1126" s="7">
        <v>289.83999999999997</v>
      </c>
      <c r="H1126">
        <f t="shared" si="102"/>
        <v>-1.2261242681862105E-2</v>
      </c>
      <c r="I1126">
        <f t="shared" si="103"/>
        <v>5.5535793041479519E-3</v>
      </c>
      <c r="J1126">
        <f t="shared" si="104"/>
        <v>2.2667768629208378E-2</v>
      </c>
      <c r="K1126">
        <f t="shared" si="105"/>
        <v>9.3014609998845986E-4</v>
      </c>
      <c r="L1126">
        <f t="shared" si="106"/>
        <v>-1.8264845260344098E-3</v>
      </c>
      <c r="M1126">
        <f t="shared" si="107"/>
        <v>5.1540265254000107E-3</v>
      </c>
    </row>
    <row r="1127" spans="1:13" x14ac:dyDescent="0.2">
      <c r="A1127" s="6">
        <v>44287</v>
      </c>
      <c r="B1127" s="7">
        <v>13.32</v>
      </c>
      <c r="C1127" s="7">
        <v>111.46</v>
      </c>
      <c r="D1127" s="7">
        <v>309.63</v>
      </c>
      <c r="E1127" s="7">
        <v>158.05000000000001</v>
      </c>
      <c r="F1127" s="7">
        <v>43.21</v>
      </c>
      <c r="G1127" s="7">
        <v>284.82</v>
      </c>
      <c r="H1127">
        <f t="shared" si="102"/>
        <v>-3.3951600473269415E-2</v>
      </c>
      <c r="I1127">
        <f t="shared" si="103"/>
        <v>-4.3865609033736028E-3</v>
      </c>
      <c r="J1127">
        <f t="shared" si="104"/>
        <v>5.7329020640231104E-3</v>
      </c>
      <c r="K1127">
        <f t="shared" si="105"/>
        <v>-2.0602500847201544E-2</v>
      </c>
      <c r="L1127">
        <f t="shared" si="106"/>
        <v>-1.2648208169883888E-2</v>
      </c>
      <c r="M1127">
        <f t="shared" si="107"/>
        <v>-1.7471644795540017E-2</v>
      </c>
    </row>
    <row r="1128" spans="1:13" x14ac:dyDescent="0.2">
      <c r="A1128" s="6">
        <v>44286</v>
      </c>
      <c r="B1128" s="7">
        <v>12.84</v>
      </c>
      <c r="C1128" s="7">
        <v>112.76</v>
      </c>
      <c r="D1128" s="7">
        <v>310.55</v>
      </c>
      <c r="E1128" s="7">
        <v>154.69999999999999</v>
      </c>
      <c r="F1128" s="7">
        <v>43.36</v>
      </c>
      <c r="G1128" s="7">
        <v>285.61</v>
      </c>
      <c r="H1128">
        <f t="shared" si="102"/>
        <v>-3.670136685042804E-2</v>
      </c>
      <c r="I1128">
        <f t="shared" si="103"/>
        <v>1.1595884104521658E-2</v>
      </c>
      <c r="J1128">
        <f t="shared" si="104"/>
        <v>2.9668827593604991E-3</v>
      </c>
      <c r="K1128">
        <f t="shared" si="105"/>
        <v>-2.1423681082606436E-2</v>
      </c>
      <c r="L1128">
        <f t="shared" si="106"/>
        <v>3.465407187548938E-3</v>
      </c>
      <c r="M1128">
        <f t="shared" si="107"/>
        <v>2.7698420667739802E-3</v>
      </c>
    </row>
    <row r="1129" spans="1:13" x14ac:dyDescent="0.2">
      <c r="A1129" s="6">
        <v>44285</v>
      </c>
      <c r="B1129" s="7">
        <v>12.92</v>
      </c>
      <c r="C1129" s="7">
        <v>111.75</v>
      </c>
      <c r="D1129" s="7">
        <v>311.10000000000002</v>
      </c>
      <c r="E1129" s="7">
        <v>152.76</v>
      </c>
      <c r="F1129" s="7">
        <v>43.22</v>
      </c>
      <c r="G1129" s="7">
        <v>285.07</v>
      </c>
      <c r="H1129">
        <f t="shared" si="102"/>
        <v>6.2112000926406764E-3</v>
      </c>
      <c r="I1129">
        <f t="shared" si="103"/>
        <v>-8.9974327522336275E-3</v>
      </c>
      <c r="J1129">
        <f t="shared" si="104"/>
        <v>1.7694848982792815E-3</v>
      </c>
      <c r="K1129">
        <f t="shared" si="105"/>
        <v>-1.2619695221704931E-2</v>
      </c>
      <c r="L1129">
        <f t="shared" si="106"/>
        <v>-3.2340060526508379E-3</v>
      </c>
      <c r="M1129">
        <f t="shared" si="107"/>
        <v>-1.8924797125064253E-3</v>
      </c>
    </row>
    <row r="1130" spans="1:13" x14ac:dyDescent="0.2">
      <c r="A1130" s="6">
        <v>44284</v>
      </c>
      <c r="B1130" s="7">
        <v>12.81</v>
      </c>
      <c r="C1130" s="7">
        <v>111.18</v>
      </c>
      <c r="D1130" s="7">
        <v>311.17</v>
      </c>
      <c r="E1130" s="7">
        <v>153.79</v>
      </c>
      <c r="F1130" s="7">
        <v>43.84</v>
      </c>
      <c r="G1130" s="7">
        <v>288.55</v>
      </c>
      <c r="H1130">
        <f t="shared" si="102"/>
        <v>-8.550382445812901E-3</v>
      </c>
      <c r="I1130">
        <f t="shared" si="103"/>
        <v>-5.1137239683546852E-3</v>
      </c>
      <c r="J1130">
        <f t="shared" si="104"/>
        <v>2.2498272548984811E-4</v>
      </c>
      <c r="K1130">
        <f t="shared" si="105"/>
        <v>6.7199730945166633E-3</v>
      </c>
      <c r="L1130">
        <f t="shared" si="106"/>
        <v>1.4243291561020362E-2</v>
      </c>
      <c r="M1130">
        <f t="shared" si="107"/>
        <v>1.213361701142638E-2</v>
      </c>
    </row>
    <row r="1131" spans="1:13" x14ac:dyDescent="0.2">
      <c r="A1131" s="6">
        <v>44281</v>
      </c>
      <c r="B1131" s="7">
        <v>12.5</v>
      </c>
      <c r="C1131" s="7">
        <v>109.71</v>
      </c>
      <c r="D1131" s="7">
        <v>304.38</v>
      </c>
      <c r="E1131" s="7">
        <v>152.6</v>
      </c>
      <c r="F1131" s="7">
        <v>43.77</v>
      </c>
      <c r="G1131" s="7">
        <v>286.38</v>
      </c>
      <c r="H1131">
        <f t="shared" si="102"/>
        <v>-2.4497471600387465E-2</v>
      </c>
      <c r="I1131">
        <f t="shared" si="103"/>
        <v>-1.3309988695923966E-2</v>
      </c>
      <c r="J1131">
        <f t="shared" si="104"/>
        <v>-2.2062465822427595E-2</v>
      </c>
      <c r="K1131">
        <f t="shared" si="105"/>
        <v>-7.7679166014755366E-3</v>
      </c>
      <c r="L1131">
        <f t="shared" si="106"/>
        <v>-1.5979914369561405E-3</v>
      </c>
      <c r="M1131">
        <f t="shared" si="107"/>
        <v>-7.5487809111152481E-3</v>
      </c>
    </row>
    <row r="1132" spans="1:13" x14ac:dyDescent="0.2">
      <c r="A1132" s="6">
        <v>44280</v>
      </c>
      <c r="B1132" s="7">
        <v>12.61</v>
      </c>
      <c r="C1132" s="7">
        <v>110.19</v>
      </c>
      <c r="D1132" s="7">
        <v>307.02</v>
      </c>
      <c r="E1132" s="7">
        <v>152.31</v>
      </c>
      <c r="F1132" s="7">
        <v>44.25</v>
      </c>
      <c r="G1132" s="7">
        <v>290.38</v>
      </c>
      <c r="H1132">
        <f t="shared" si="102"/>
        <v>8.7615056685726705E-3</v>
      </c>
      <c r="I1132">
        <f t="shared" si="103"/>
        <v>4.3656276702860259E-3</v>
      </c>
      <c r="J1132">
        <f t="shared" si="104"/>
        <v>8.6359712384018288E-3</v>
      </c>
      <c r="K1132">
        <f t="shared" si="105"/>
        <v>-1.902201222943968E-3</v>
      </c>
      <c r="L1132">
        <f t="shared" si="106"/>
        <v>1.0906720251134434E-2</v>
      </c>
      <c r="M1132">
        <f t="shared" si="107"/>
        <v>1.3870809809681544E-2</v>
      </c>
    </row>
    <row r="1133" spans="1:13" x14ac:dyDescent="0.2">
      <c r="A1133" s="6">
        <v>44279</v>
      </c>
      <c r="B1133" s="7">
        <v>13.04</v>
      </c>
      <c r="C1133" s="7">
        <v>105.76</v>
      </c>
      <c r="D1133" s="7">
        <v>296.83</v>
      </c>
      <c r="E1133" s="7">
        <v>154.35</v>
      </c>
      <c r="F1133" s="7">
        <v>44.12</v>
      </c>
      <c r="G1133" s="7">
        <v>288.61</v>
      </c>
      <c r="H1133">
        <f t="shared" si="102"/>
        <v>3.3531406521678589E-2</v>
      </c>
      <c r="I1133">
        <f t="shared" si="103"/>
        <v>-4.1033772396309391E-2</v>
      </c>
      <c r="J1133">
        <f t="shared" si="104"/>
        <v>-3.375330769276793E-2</v>
      </c>
      <c r="K1133">
        <f t="shared" si="105"/>
        <v>1.3304833320755509E-2</v>
      </c>
      <c r="L1133">
        <f t="shared" si="106"/>
        <v>-2.9421770686369037E-3</v>
      </c>
      <c r="M1133">
        <f t="shared" si="107"/>
        <v>-6.1141142814196379E-3</v>
      </c>
    </row>
    <row r="1134" spans="1:13" x14ac:dyDescent="0.2">
      <c r="A1134" s="6">
        <v>44278</v>
      </c>
      <c r="B1134" s="7">
        <v>13.15</v>
      </c>
      <c r="C1134" s="7">
        <v>102.42</v>
      </c>
      <c r="D1134" s="7">
        <v>292.73</v>
      </c>
      <c r="E1134" s="7">
        <v>156.88</v>
      </c>
      <c r="F1134" s="7">
        <v>43.78</v>
      </c>
      <c r="G1134" s="7">
        <v>291.18</v>
      </c>
      <c r="H1134">
        <f t="shared" si="102"/>
        <v>8.4002021252666693E-3</v>
      </c>
      <c r="I1134">
        <f t="shared" si="103"/>
        <v>-3.2090370068971884E-2</v>
      </c>
      <c r="J1134">
        <f t="shared" si="104"/>
        <v>-1.3908901885418547E-2</v>
      </c>
      <c r="K1134">
        <f t="shared" si="105"/>
        <v>1.6258430939922481E-2</v>
      </c>
      <c r="L1134">
        <f t="shared" si="106"/>
        <v>-7.7361022905847827E-3</v>
      </c>
      <c r="M1134">
        <f t="shared" si="107"/>
        <v>8.8653368710578037E-3</v>
      </c>
    </row>
    <row r="1135" spans="1:13" x14ac:dyDescent="0.2">
      <c r="A1135" s="6">
        <v>44277</v>
      </c>
      <c r="B1135" s="7">
        <v>12.81</v>
      </c>
      <c r="C1135" s="7">
        <v>101.62</v>
      </c>
      <c r="D1135" s="7">
        <v>286.24</v>
      </c>
      <c r="E1135" s="7">
        <v>155.54</v>
      </c>
      <c r="F1135" s="7">
        <v>44.06</v>
      </c>
      <c r="G1135" s="7">
        <v>292.27999999999997</v>
      </c>
      <c r="H1135">
        <f t="shared" si="102"/>
        <v>-2.6195642715130633E-2</v>
      </c>
      <c r="I1135">
        <f t="shared" si="103"/>
        <v>-7.8416398688183897E-3</v>
      </c>
      <c r="J1135">
        <f t="shared" si="104"/>
        <v>-2.2420062706459964E-2</v>
      </c>
      <c r="K1135">
        <f t="shared" si="105"/>
        <v>-8.5782486212935723E-3</v>
      </c>
      <c r="L1135">
        <f t="shared" si="106"/>
        <v>6.3752492794802319E-3</v>
      </c>
      <c r="M1135">
        <f t="shared" si="107"/>
        <v>3.7706142778370878E-3</v>
      </c>
    </row>
    <row r="1136" spans="1:13" x14ac:dyDescent="0.2">
      <c r="A1136" s="6">
        <v>44274</v>
      </c>
      <c r="B1136" s="7">
        <v>12.69</v>
      </c>
      <c r="C1136" s="7">
        <v>101.59</v>
      </c>
      <c r="D1136" s="7">
        <v>289.04000000000002</v>
      </c>
      <c r="E1136" s="7">
        <v>153.75</v>
      </c>
      <c r="F1136" s="7">
        <v>43.92</v>
      </c>
      <c r="G1136" s="7">
        <v>287.52</v>
      </c>
      <c r="H1136">
        <f t="shared" si="102"/>
        <v>-9.4118341823467063E-3</v>
      </c>
      <c r="I1136">
        <f t="shared" si="103"/>
        <v>-2.9526106213228885E-4</v>
      </c>
      <c r="J1136">
        <f t="shared" si="104"/>
        <v>9.7344670789757982E-3</v>
      </c>
      <c r="K1136">
        <f t="shared" si="105"/>
        <v>-1.1575026580169887E-2</v>
      </c>
      <c r="L1136">
        <f t="shared" si="106"/>
        <v>-3.182544172921872E-3</v>
      </c>
      <c r="M1136">
        <f t="shared" si="107"/>
        <v>-1.6419823887768147E-2</v>
      </c>
    </row>
    <row r="1137" spans="1:13" x14ac:dyDescent="0.2">
      <c r="A1137" s="6">
        <v>44273</v>
      </c>
      <c r="B1137" s="7">
        <v>13.31</v>
      </c>
      <c r="C1137" s="7">
        <v>100.54</v>
      </c>
      <c r="D1137" s="7">
        <v>281.29000000000002</v>
      </c>
      <c r="E1137" s="7">
        <v>151.4</v>
      </c>
      <c r="F1137" s="7">
        <v>43.66</v>
      </c>
      <c r="G1137" s="7">
        <v>285.10000000000002</v>
      </c>
      <c r="H1137">
        <f t="shared" si="102"/>
        <v>4.7701350680724036E-2</v>
      </c>
      <c r="I1137">
        <f t="shared" si="103"/>
        <v>-1.038944683902435E-2</v>
      </c>
      <c r="J1137">
        <f t="shared" si="104"/>
        <v>-2.7178921211154047E-2</v>
      </c>
      <c r="K1137">
        <f t="shared" si="105"/>
        <v>-1.5402565683278826E-2</v>
      </c>
      <c r="L1137">
        <f t="shared" si="106"/>
        <v>-5.9374460794774549E-3</v>
      </c>
      <c r="M1137">
        <f t="shared" si="107"/>
        <v>-8.4524271166224359E-3</v>
      </c>
    </row>
    <row r="1138" spans="1:13" x14ac:dyDescent="0.2">
      <c r="A1138" s="6">
        <v>44272</v>
      </c>
      <c r="B1138" s="7">
        <v>13.26</v>
      </c>
      <c r="C1138" s="7">
        <v>100.93</v>
      </c>
      <c r="D1138" s="7">
        <v>277.02999999999997</v>
      </c>
      <c r="E1138" s="7">
        <v>156.79</v>
      </c>
      <c r="F1138" s="7">
        <v>43.67</v>
      </c>
      <c r="G1138" s="7">
        <v>285.44</v>
      </c>
      <c r="H1138">
        <f t="shared" si="102"/>
        <v>-3.7636476493038331E-3</v>
      </c>
      <c r="I1138">
        <f t="shared" si="103"/>
        <v>3.8715489863388685E-3</v>
      </c>
      <c r="J1138">
        <f t="shared" si="104"/>
        <v>-1.5260362056168349E-2</v>
      </c>
      <c r="K1138">
        <f t="shared" si="105"/>
        <v>3.4981989369010646E-2</v>
      </c>
      <c r="L1138">
        <f t="shared" si="106"/>
        <v>2.2901637567181813E-4</v>
      </c>
      <c r="M1138">
        <f t="shared" si="107"/>
        <v>1.1918534730182282E-3</v>
      </c>
    </row>
    <row r="1139" spans="1:13" x14ac:dyDescent="0.2">
      <c r="A1139" s="6">
        <v>44271</v>
      </c>
      <c r="B1139" s="7">
        <v>13.16</v>
      </c>
      <c r="C1139" s="7">
        <v>100.93</v>
      </c>
      <c r="D1139" s="7">
        <v>280.41000000000003</v>
      </c>
      <c r="E1139" s="7">
        <v>154.59</v>
      </c>
      <c r="F1139" s="7">
        <v>43.81</v>
      </c>
      <c r="G1139" s="7">
        <v>285.79000000000002</v>
      </c>
      <c r="H1139">
        <f t="shared" si="102"/>
        <v>-7.5700588605452793E-3</v>
      </c>
      <c r="I1139">
        <f t="shared" si="103"/>
        <v>0</v>
      </c>
      <c r="J1139">
        <f t="shared" si="104"/>
        <v>1.2127014290539379E-2</v>
      </c>
      <c r="K1139">
        <f t="shared" si="105"/>
        <v>-1.4130879364116423E-2</v>
      </c>
      <c r="L1139">
        <f t="shared" si="106"/>
        <v>3.2007343283374829E-3</v>
      </c>
      <c r="M1139">
        <f t="shared" si="107"/>
        <v>1.2254259888266575E-3</v>
      </c>
    </row>
    <row r="1140" spans="1:13" x14ac:dyDescent="0.2">
      <c r="A1140" s="6">
        <v>44270</v>
      </c>
      <c r="B1140" s="7">
        <v>12.82</v>
      </c>
      <c r="C1140" s="7">
        <v>101.37</v>
      </c>
      <c r="D1140" s="7">
        <v>288.85000000000002</v>
      </c>
      <c r="E1140" s="7">
        <v>154.08000000000001</v>
      </c>
      <c r="F1140" s="7">
        <v>43.8</v>
      </c>
      <c r="G1140" s="7">
        <v>284.39999999999998</v>
      </c>
      <c r="H1140">
        <f t="shared" si="102"/>
        <v>-2.6175474404647094E-2</v>
      </c>
      <c r="I1140">
        <f t="shared" si="103"/>
        <v>4.3499821435400068E-3</v>
      </c>
      <c r="J1140">
        <f t="shared" si="104"/>
        <v>2.9654704364672747E-2</v>
      </c>
      <c r="K1140">
        <f t="shared" si="105"/>
        <v>-3.3045029584271553E-3</v>
      </c>
      <c r="L1140">
        <f t="shared" si="106"/>
        <v>-2.2828444340680827E-4</v>
      </c>
      <c r="M1140">
        <f t="shared" si="107"/>
        <v>-4.8755774513853664E-3</v>
      </c>
    </row>
    <row r="1141" spans="1:13" x14ac:dyDescent="0.2">
      <c r="A1141" s="6">
        <v>44267</v>
      </c>
      <c r="B1141" s="7">
        <v>12.96</v>
      </c>
      <c r="C1141" s="7">
        <v>100.84</v>
      </c>
      <c r="D1141" s="7">
        <v>291.74</v>
      </c>
      <c r="E1141" s="7">
        <v>154.47</v>
      </c>
      <c r="F1141" s="7">
        <v>43.78</v>
      </c>
      <c r="G1141" s="7">
        <v>280.12</v>
      </c>
      <c r="H1141">
        <f t="shared" si="102"/>
        <v>1.0861239431604634E-2</v>
      </c>
      <c r="I1141">
        <f t="shared" si="103"/>
        <v>-5.2420870745892474E-3</v>
      </c>
      <c r="J1141">
        <f t="shared" si="104"/>
        <v>9.9554724307925717E-3</v>
      </c>
      <c r="K1141">
        <f t="shared" si="105"/>
        <v>2.527954676344168E-3</v>
      </c>
      <c r="L1141">
        <f t="shared" si="106"/>
        <v>-4.5672528768347058E-4</v>
      </c>
      <c r="M1141">
        <f t="shared" si="107"/>
        <v>-1.5163615141768751E-2</v>
      </c>
    </row>
    <row r="1142" spans="1:13" x14ac:dyDescent="0.2">
      <c r="A1142" s="6">
        <v>44266</v>
      </c>
      <c r="B1142" s="7">
        <v>12.44</v>
      </c>
      <c r="C1142" s="7">
        <v>100.65</v>
      </c>
      <c r="D1142" s="7">
        <v>288.33</v>
      </c>
      <c r="E1142" s="7">
        <v>155.68</v>
      </c>
      <c r="F1142" s="7">
        <v>43.81</v>
      </c>
      <c r="G1142" s="7">
        <v>278.37</v>
      </c>
      <c r="H1142">
        <f t="shared" si="102"/>
        <v>-4.095060361309532E-2</v>
      </c>
      <c r="I1142">
        <f t="shared" si="103"/>
        <v>-1.8859502339186175E-3</v>
      </c>
      <c r="J1142">
        <f t="shared" si="104"/>
        <v>-1.175733715476455E-2</v>
      </c>
      <c r="K1142">
        <f t="shared" si="105"/>
        <v>7.8027157115353289E-3</v>
      </c>
      <c r="L1142">
        <f t="shared" si="106"/>
        <v>6.8500973109028021E-4</v>
      </c>
      <c r="M1142">
        <f t="shared" si="107"/>
        <v>-6.26691875411939E-3</v>
      </c>
    </row>
    <row r="1143" spans="1:13" x14ac:dyDescent="0.2">
      <c r="A1143" s="6">
        <v>44264</v>
      </c>
      <c r="B1143" s="7">
        <v>12.49</v>
      </c>
      <c r="C1143" s="7">
        <v>100.37</v>
      </c>
      <c r="D1143" s="7">
        <v>276.91000000000003</v>
      </c>
      <c r="E1143" s="7">
        <v>152.88</v>
      </c>
      <c r="F1143" s="7">
        <v>43.9</v>
      </c>
      <c r="G1143" s="7">
        <v>279.54000000000002</v>
      </c>
      <c r="H1143">
        <f t="shared" si="102"/>
        <v>4.011236826453048E-3</v>
      </c>
      <c r="I1143">
        <f t="shared" si="103"/>
        <v>-2.7857942600915215E-3</v>
      </c>
      <c r="J1143">
        <f t="shared" si="104"/>
        <v>-4.0413113857864405E-2</v>
      </c>
      <c r="K1143">
        <f t="shared" si="105"/>
        <v>-1.8149318505677445E-2</v>
      </c>
      <c r="L1143">
        <f t="shared" si="106"/>
        <v>2.0522182553185846E-3</v>
      </c>
      <c r="M1143">
        <f t="shared" si="107"/>
        <v>4.1942310235628128E-3</v>
      </c>
    </row>
    <row r="1144" spans="1:13" x14ac:dyDescent="0.2">
      <c r="A1144" s="6">
        <v>44264</v>
      </c>
      <c r="B1144" s="7">
        <v>11.56</v>
      </c>
      <c r="C1144" s="7">
        <v>103.4</v>
      </c>
      <c r="D1144" s="7">
        <v>282.27</v>
      </c>
      <c r="E1144" s="7">
        <v>153.13999999999999</v>
      </c>
      <c r="F1144" s="7">
        <v>43.69</v>
      </c>
      <c r="G1144" s="7">
        <v>280.98</v>
      </c>
      <c r="H1144">
        <f t="shared" si="102"/>
        <v>-7.737746089325491E-2</v>
      </c>
      <c r="I1144">
        <f t="shared" si="103"/>
        <v>2.9741604248619755E-2</v>
      </c>
      <c r="J1144">
        <f t="shared" si="104"/>
        <v>1.9171516041345683E-2</v>
      </c>
      <c r="K1144">
        <f t="shared" si="105"/>
        <v>1.6992357529596212E-3</v>
      </c>
      <c r="L1144">
        <f t="shared" si="106"/>
        <v>-4.7950771177811841E-3</v>
      </c>
      <c r="M1144">
        <f t="shared" si="107"/>
        <v>5.1380973667450834E-3</v>
      </c>
    </row>
    <row r="1145" spans="1:13" x14ac:dyDescent="0.2">
      <c r="A1145" s="6">
        <v>44263</v>
      </c>
      <c r="B1145" s="7">
        <v>12.43</v>
      </c>
      <c r="C1145" s="7">
        <v>103.48</v>
      </c>
      <c r="D1145" s="7">
        <v>277.57</v>
      </c>
      <c r="E1145" s="7">
        <v>147.6</v>
      </c>
      <c r="F1145" s="7">
        <v>42.5</v>
      </c>
      <c r="G1145" s="7">
        <v>274.17</v>
      </c>
      <c r="H1145">
        <f t="shared" si="102"/>
        <v>7.2562042278388222E-2</v>
      </c>
      <c r="I1145">
        <f t="shared" si="103"/>
        <v>7.7339524349968761E-4</v>
      </c>
      <c r="J1145">
        <f t="shared" si="104"/>
        <v>-1.679090605829248E-2</v>
      </c>
      <c r="K1145">
        <f t="shared" si="105"/>
        <v>-3.6846623518605154E-2</v>
      </c>
      <c r="L1145">
        <f t="shared" si="106"/>
        <v>-2.7615167032973266E-2</v>
      </c>
      <c r="M1145">
        <f t="shared" si="107"/>
        <v>-2.4535140471285473E-2</v>
      </c>
    </row>
    <row r="1146" spans="1:13" x14ac:dyDescent="0.2">
      <c r="A1146" s="6">
        <v>44260</v>
      </c>
      <c r="B1146" s="7">
        <v>12.34</v>
      </c>
      <c r="C1146" s="7">
        <v>102.02</v>
      </c>
      <c r="D1146" s="7">
        <v>272.07</v>
      </c>
      <c r="E1146" s="7">
        <v>150.02000000000001</v>
      </c>
      <c r="F1146" s="7">
        <v>42.57</v>
      </c>
      <c r="G1146" s="7">
        <v>271.94</v>
      </c>
      <c r="H1146">
        <f t="shared" si="102"/>
        <v>-7.2668870453780005E-3</v>
      </c>
      <c r="I1146">
        <f t="shared" si="103"/>
        <v>-1.4209484823047952E-2</v>
      </c>
      <c r="J1146">
        <f t="shared" si="104"/>
        <v>-2.0013767500905326E-2</v>
      </c>
      <c r="K1146">
        <f t="shared" si="105"/>
        <v>1.6262706375118157E-2</v>
      </c>
      <c r="L1146">
        <f t="shared" si="106"/>
        <v>1.64570390968976E-3</v>
      </c>
      <c r="M1146">
        <f t="shared" si="107"/>
        <v>-8.1668982246801119E-3</v>
      </c>
    </row>
    <row r="1147" spans="1:13" x14ac:dyDescent="0.2">
      <c r="A1147" s="6">
        <v>44259</v>
      </c>
      <c r="B1147" s="7">
        <v>12.77</v>
      </c>
      <c r="C1147" s="7">
        <v>101.8</v>
      </c>
      <c r="D1147" s="7">
        <v>266.76</v>
      </c>
      <c r="E1147" s="7">
        <v>148.88</v>
      </c>
      <c r="F1147" s="7">
        <v>42.54</v>
      </c>
      <c r="G1147" s="7">
        <v>271.56</v>
      </c>
      <c r="H1147">
        <f t="shared" si="102"/>
        <v>3.4252651567206228E-2</v>
      </c>
      <c r="I1147">
        <f t="shared" si="103"/>
        <v>-2.1587683783580933E-3</v>
      </c>
      <c r="J1147">
        <f t="shared" si="104"/>
        <v>-1.9710008363480566E-2</v>
      </c>
      <c r="K1147">
        <f t="shared" si="105"/>
        <v>-7.6280062074950122E-3</v>
      </c>
      <c r="L1147">
        <f t="shared" si="106"/>
        <v>-7.0497006796993238E-4</v>
      </c>
      <c r="M1147">
        <f t="shared" si="107"/>
        <v>-1.3983442940936062E-3</v>
      </c>
    </row>
    <row r="1148" spans="1:13" x14ac:dyDescent="0.2">
      <c r="A1148" s="6">
        <v>44258</v>
      </c>
      <c r="B1148" s="7">
        <v>13.37</v>
      </c>
      <c r="C1148" s="7">
        <v>104.31</v>
      </c>
      <c r="D1148" s="7">
        <v>272.2</v>
      </c>
      <c r="E1148" s="7">
        <v>150.25</v>
      </c>
      <c r="F1148" s="7">
        <v>42.83</v>
      </c>
      <c r="G1148" s="7">
        <v>269.22000000000003</v>
      </c>
      <c r="H1148">
        <f t="shared" si="102"/>
        <v>4.5914721069403849E-2</v>
      </c>
      <c r="I1148">
        <f t="shared" si="103"/>
        <v>2.4357130571457504E-2</v>
      </c>
      <c r="J1148">
        <f t="shared" si="104"/>
        <v>2.0187712453260075E-2</v>
      </c>
      <c r="K1148">
        <f t="shared" si="105"/>
        <v>9.1599610813217682E-3</v>
      </c>
      <c r="L1148">
        <f t="shared" si="106"/>
        <v>6.7939818551883578E-3</v>
      </c>
      <c r="M1148">
        <f t="shared" si="107"/>
        <v>-8.6542202174992051E-3</v>
      </c>
    </row>
    <row r="1149" spans="1:13" x14ac:dyDescent="0.2">
      <c r="A1149" s="6">
        <v>44257</v>
      </c>
      <c r="B1149" s="7">
        <v>13.8</v>
      </c>
      <c r="C1149" s="7">
        <v>101.11</v>
      </c>
      <c r="D1149" s="7">
        <v>263.27999999999997</v>
      </c>
      <c r="E1149" s="7">
        <v>154.72999999999999</v>
      </c>
      <c r="F1149" s="7">
        <v>42.35</v>
      </c>
      <c r="G1149" s="7">
        <v>270.66000000000003</v>
      </c>
      <c r="H1149">
        <f t="shared" si="102"/>
        <v>3.1655201049307205E-2</v>
      </c>
      <c r="I1149">
        <f t="shared" si="103"/>
        <v>-3.1158201584572061E-2</v>
      </c>
      <c r="J1149">
        <f t="shared" si="104"/>
        <v>-3.3318985582281288E-2</v>
      </c>
      <c r="K1149">
        <f t="shared" si="105"/>
        <v>2.9381089086264137E-2</v>
      </c>
      <c r="L1149">
        <f t="shared" si="106"/>
        <v>-1.1270370529216138E-2</v>
      </c>
      <c r="M1149">
        <f t="shared" si="107"/>
        <v>5.3345314324124652E-3</v>
      </c>
    </row>
    <row r="1150" spans="1:13" x14ac:dyDescent="0.2">
      <c r="A1150" s="6">
        <v>44256</v>
      </c>
      <c r="B1150" s="7">
        <v>13.68</v>
      </c>
      <c r="C1150" s="7">
        <v>101.32</v>
      </c>
      <c r="D1150" s="7">
        <v>264.11</v>
      </c>
      <c r="E1150" s="7">
        <v>157.31</v>
      </c>
      <c r="F1150" s="7">
        <v>42</v>
      </c>
      <c r="G1150" s="7">
        <v>264.75</v>
      </c>
      <c r="H1150">
        <f t="shared" si="102"/>
        <v>-8.7336799687546662E-3</v>
      </c>
      <c r="I1150">
        <f t="shared" si="103"/>
        <v>2.0747920301666979E-3</v>
      </c>
      <c r="J1150">
        <f t="shared" si="104"/>
        <v>3.1475783964480353E-3</v>
      </c>
      <c r="K1150">
        <f t="shared" si="105"/>
        <v>1.6536718332832191E-2</v>
      </c>
      <c r="L1150">
        <f t="shared" si="106"/>
        <v>-8.2988028146951786E-3</v>
      </c>
      <c r="M1150">
        <f t="shared" si="107"/>
        <v>-2.2077436166843791E-2</v>
      </c>
    </row>
    <row r="1151" spans="1:13" x14ac:dyDescent="0.2">
      <c r="A1151" s="6">
        <v>44253</v>
      </c>
      <c r="B1151" s="7">
        <v>13.27</v>
      </c>
      <c r="C1151" s="7">
        <v>99.69</v>
      </c>
      <c r="D1151" s="7">
        <v>253.75</v>
      </c>
      <c r="E1151" s="7">
        <v>154.65</v>
      </c>
      <c r="F1151" s="7">
        <v>41.71</v>
      </c>
      <c r="G1151" s="7">
        <v>260.8</v>
      </c>
      <c r="H1151">
        <f t="shared" si="102"/>
        <v>-3.0429063850288224E-2</v>
      </c>
      <c r="I1151">
        <f t="shared" si="103"/>
        <v>-1.6218454098861797E-2</v>
      </c>
      <c r="J1151">
        <f t="shared" si="104"/>
        <v>-4.0016152675535308E-2</v>
      </c>
      <c r="K1151">
        <f t="shared" si="105"/>
        <v>-1.7053881703334814E-2</v>
      </c>
      <c r="L1151">
        <f t="shared" si="106"/>
        <v>-6.928710074514381E-3</v>
      </c>
      <c r="M1151">
        <f t="shared" si="107"/>
        <v>-1.5032154429017897E-2</v>
      </c>
    </row>
    <row r="1152" spans="1:13" x14ac:dyDescent="0.2">
      <c r="A1152" s="6">
        <v>44252</v>
      </c>
      <c r="B1152" s="7">
        <v>14.46</v>
      </c>
      <c r="C1152" s="7">
        <v>104.14</v>
      </c>
      <c r="D1152" s="7">
        <v>262.66000000000003</v>
      </c>
      <c r="E1152" s="7">
        <v>152.86000000000001</v>
      </c>
      <c r="F1152" s="7">
        <v>41.97</v>
      </c>
      <c r="G1152" s="7">
        <v>258.33999999999997</v>
      </c>
      <c r="H1152">
        <f t="shared" si="102"/>
        <v>8.5880368386502592E-2</v>
      </c>
      <c r="I1152">
        <f t="shared" si="103"/>
        <v>4.3670776700140392E-2</v>
      </c>
      <c r="J1152">
        <f t="shared" si="104"/>
        <v>3.4510889801016888E-2</v>
      </c>
      <c r="K1152">
        <f t="shared" si="105"/>
        <v>-1.164202931634057E-2</v>
      </c>
      <c r="L1152">
        <f t="shared" si="106"/>
        <v>6.2141691366456092E-3</v>
      </c>
      <c r="M1152">
        <f t="shared" si="107"/>
        <v>-9.4772832486285097E-3</v>
      </c>
    </row>
    <row r="1153" spans="1:13" x14ac:dyDescent="0.2">
      <c r="A1153" s="6">
        <v>44251</v>
      </c>
      <c r="B1153" s="7">
        <v>14.1</v>
      </c>
      <c r="C1153" s="7">
        <v>101</v>
      </c>
      <c r="D1153" s="7">
        <v>256.06</v>
      </c>
      <c r="E1153" s="7">
        <v>157.97999999999999</v>
      </c>
      <c r="F1153" s="7">
        <v>41.48</v>
      </c>
      <c r="G1153" s="7">
        <v>257.41000000000003</v>
      </c>
      <c r="H1153">
        <f t="shared" si="102"/>
        <v>-2.5211419346496171E-2</v>
      </c>
      <c r="I1153">
        <f t="shared" si="103"/>
        <v>-3.0615630893493624E-2</v>
      </c>
      <c r="J1153">
        <f t="shared" si="104"/>
        <v>-2.5448628138980967E-2</v>
      </c>
      <c r="K1153">
        <f t="shared" si="105"/>
        <v>3.2945972921534755E-2</v>
      </c>
      <c r="L1153">
        <f t="shared" si="106"/>
        <v>-1.1743693984172958E-2</v>
      </c>
      <c r="M1153">
        <f t="shared" si="107"/>
        <v>-3.6064023576361775E-3</v>
      </c>
    </row>
    <row r="1154" spans="1:13" x14ac:dyDescent="0.2">
      <c r="A1154" s="6">
        <v>44250</v>
      </c>
      <c r="B1154" s="7">
        <v>14.32</v>
      </c>
      <c r="C1154" s="7">
        <v>99.88</v>
      </c>
      <c r="D1154" s="7">
        <v>253.85</v>
      </c>
      <c r="E1154" s="7">
        <v>159.72999999999999</v>
      </c>
      <c r="F1154" s="7">
        <v>41.28</v>
      </c>
      <c r="G1154" s="7">
        <v>257.55</v>
      </c>
      <c r="H1154">
        <f t="shared" si="102"/>
        <v>1.5482364148377094E-2</v>
      </c>
      <c r="I1154">
        <f t="shared" si="103"/>
        <v>-1.1151051429686991E-2</v>
      </c>
      <c r="J1154">
        <f t="shared" si="104"/>
        <v>-8.668250624629668E-3</v>
      </c>
      <c r="K1154">
        <f t="shared" si="105"/>
        <v>1.1016447065592161E-2</v>
      </c>
      <c r="L1154">
        <f t="shared" si="106"/>
        <v>-4.8332621880191537E-3</v>
      </c>
      <c r="M1154">
        <f t="shared" si="107"/>
        <v>5.4373156536105896E-4</v>
      </c>
    </row>
    <row r="1155" spans="1:13" x14ac:dyDescent="0.2">
      <c r="A1155" s="6">
        <v>44246</v>
      </c>
      <c r="B1155" s="7">
        <v>14.79</v>
      </c>
      <c r="C1155" s="7">
        <v>102.77</v>
      </c>
      <c r="D1155" s="7">
        <v>263.29000000000002</v>
      </c>
      <c r="E1155" s="7">
        <v>162.49</v>
      </c>
      <c r="F1155" s="7">
        <v>40.74</v>
      </c>
      <c r="G1155" s="7">
        <v>249.47</v>
      </c>
      <c r="H1155">
        <f t="shared" si="102"/>
        <v>3.2294115190208729E-2</v>
      </c>
      <c r="I1155">
        <f t="shared" si="103"/>
        <v>2.852401622540925E-2</v>
      </c>
      <c r="J1155">
        <f t="shared" si="104"/>
        <v>3.6512544896546519E-2</v>
      </c>
      <c r="K1155">
        <f t="shared" si="105"/>
        <v>1.7131571612819706E-2</v>
      </c>
      <c r="L1155">
        <f t="shared" si="106"/>
        <v>-1.3167710374647557E-2</v>
      </c>
      <c r="M1155">
        <f t="shared" si="107"/>
        <v>-3.1875208530448951E-2</v>
      </c>
    </row>
    <row r="1156" spans="1:13" x14ac:dyDescent="0.2">
      <c r="A1156" s="6">
        <v>44245</v>
      </c>
      <c r="B1156" s="7">
        <v>14.86</v>
      </c>
      <c r="C1156" s="7">
        <v>100.4</v>
      </c>
      <c r="D1156" s="7">
        <v>256.04000000000002</v>
      </c>
      <c r="E1156" s="7">
        <v>166.41</v>
      </c>
      <c r="F1156" s="7">
        <v>41.28</v>
      </c>
      <c r="G1156" s="7">
        <v>251.3</v>
      </c>
      <c r="H1156">
        <f t="shared" ref="H1156:H1203" si="108">LN(B1156/B1155)</f>
        <v>4.721762566904689E-3</v>
      </c>
      <c r="I1156">
        <f t="shared" ref="I1156:I1203" si="109">LN(C1156/C1155)</f>
        <v>-2.3331274379352847E-2</v>
      </c>
      <c r="J1156">
        <f t="shared" ref="J1156:J1203" si="110">LN(D1156/D1155)</f>
        <v>-2.7922404016147127E-2</v>
      </c>
      <c r="K1156">
        <f t="shared" ref="K1156:K1203" si="111">LN(E1156/E1155)</f>
        <v>2.3838161320567899E-2</v>
      </c>
      <c r="L1156">
        <f t="shared" ref="L1156:L1203" si="112">LN(F1156/F1155)</f>
        <v>1.3167710374647488E-2</v>
      </c>
      <c r="M1156">
        <f t="shared" ref="M1156:M1203" si="113">LN(G1156/G1155)</f>
        <v>7.3087770684013243E-3</v>
      </c>
    </row>
    <row r="1157" spans="1:13" x14ac:dyDescent="0.2">
      <c r="A1157" s="6">
        <v>44244</v>
      </c>
      <c r="B1157" s="7">
        <v>15.29</v>
      </c>
      <c r="C1157" s="7">
        <v>100.11</v>
      </c>
      <c r="D1157" s="7">
        <v>253.13</v>
      </c>
      <c r="E1157" s="7">
        <v>165.43</v>
      </c>
      <c r="F1157" s="7">
        <v>41.63</v>
      </c>
      <c r="G1157" s="7">
        <v>248.15</v>
      </c>
      <c r="H1157">
        <f t="shared" si="108"/>
        <v>2.8525980651357703E-2</v>
      </c>
      <c r="I1157">
        <f t="shared" si="109"/>
        <v>-2.8926258262365538E-3</v>
      </c>
      <c r="J1157">
        <f t="shared" si="110"/>
        <v>-1.1430491521669009E-2</v>
      </c>
      <c r="K1157">
        <f t="shared" si="111"/>
        <v>-5.9064781163281326E-3</v>
      </c>
      <c r="L1157">
        <f t="shared" si="112"/>
        <v>8.4429400335768456E-3</v>
      </c>
      <c r="M1157">
        <f t="shared" si="113"/>
        <v>-1.2614042516096716E-2</v>
      </c>
    </row>
    <row r="1158" spans="1:13" x14ac:dyDescent="0.2">
      <c r="A1158" s="6">
        <v>44243</v>
      </c>
      <c r="B1158" s="7">
        <v>14.92</v>
      </c>
      <c r="C1158" s="7">
        <v>103.48</v>
      </c>
      <c r="D1158" s="7">
        <v>262.69</v>
      </c>
      <c r="E1158" s="7">
        <v>163.44999999999999</v>
      </c>
      <c r="F1158" s="7">
        <v>41.64</v>
      </c>
      <c r="G1158" s="7">
        <v>243.3</v>
      </c>
      <c r="H1158">
        <f t="shared" si="108"/>
        <v>-2.4496425165356061E-2</v>
      </c>
      <c r="I1158">
        <f t="shared" si="109"/>
        <v>3.3108775886436168E-2</v>
      </c>
      <c r="J1158">
        <f t="shared" si="110"/>
        <v>3.7071438979573712E-2</v>
      </c>
      <c r="K1158">
        <f t="shared" si="111"/>
        <v>-1.2041011448705077E-2</v>
      </c>
      <c r="L1158">
        <f t="shared" si="112"/>
        <v>2.4018253988396297E-4</v>
      </c>
      <c r="M1158">
        <f t="shared" si="113"/>
        <v>-1.9738152243972882E-2</v>
      </c>
    </row>
    <row r="1159" spans="1:13" x14ac:dyDescent="0.2">
      <c r="A1159" s="6">
        <v>44239</v>
      </c>
      <c r="B1159" s="7">
        <v>15.21</v>
      </c>
      <c r="C1159" s="7">
        <v>102.3</v>
      </c>
      <c r="D1159" s="7">
        <v>264.23</v>
      </c>
      <c r="E1159" s="7">
        <v>163.89</v>
      </c>
      <c r="F1159" s="7">
        <v>41.85</v>
      </c>
      <c r="G1159" s="7">
        <v>239.51</v>
      </c>
      <c r="H1159">
        <f t="shared" si="108"/>
        <v>1.9250511495586761E-2</v>
      </c>
      <c r="I1159">
        <f t="shared" si="109"/>
        <v>-1.1468684360247674E-2</v>
      </c>
      <c r="J1159">
        <f t="shared" si="110"/>
        <v>5.8453062508168306E-3</v>
      </c>
      <c r="K1159">
        <f t="shared" si="111"/>
        <v>2.6883379055162387E-3</v>
      </c>
      <c r="L1159">
        <f t="shared" si="112"/>
        <v>5.030553188716114E-3</v>
      </c>
      <c r="M1159">
        <f t="shared" si="113"/>
        <v>-1.5700080156721939E-2</v>
      </c>
    </row>
    <row r="1160" spans="1:13" x14ac:dyDescent="0.2">
      <c r="A1160" s="6">
        <v>44237</v>
      </c>
      <c r="B1160" s="7">
        <v>14.22</v>
      </c>
      <c r="C1160" s="7">
        <v>103.73</v>
      </c>
      <c r="D1160" s="7">
        <v>259.95999999999998</v>
      </c>
      <c r="E1160" s="7">
        <v>164.33</v>
      </c>
      <c r="F1160" s="7">
        <v>41.25</v>
      </c>
      <c r="G1160" s="7">
        <v>237.19</v>
      </c>
      <c r="H1160">
        <f t="shared" si="108"/>
        <v>-6.7303681896106665E-2</v>
      </c>
      <c r="I1160">
        <f t="shared" si="109"/>
        <v>1.3881696486156036E-2</v>
      </c>
      <c r="J1160">
        <f t="shared" si="110"/>
        <v>-1.629216295637605E-2</v>
      </c>
      <c r="K1160">
        <f t="shared" si="111"/>
        <v>2.6811301174627451E-3</v>
      </c>
      <c r="L1160">
        <f t="shared" si="112"/>
        <v>-1.444068415479436E-2</v>
      </c>
      <c r="M1160">
        <f t="shared" si="113"/>
        <v>-9.7336619139001025E-3</v>
      </c>
    </row>
    <row r="1161" spans="1:13" x14ac:dyDescent="0.2">
      <c r="A1161" s="6">
        <v>44236</v>
      </c>
      <c r="B1161" s="7">
        <v>14.4</v>
      </c>
      <c r="C1161" s="7">
        <v>104.57</v>
      </c>
      <c r="D1161" s="7">
        <v>267.74</v>
      </c>
      <c r="E1161" s="7">
        <v>165.25</v>
      </c>
      <c r="F1161" s="7">
        <v>40.22</v>
      </c>
      <c r="G1161" s="7">
        <v>234.58</v>
      </c>
      <c r="H1161">
        <f t="shared" si="108"/>
        <v>1.2578782206860185E-2</v>
      </c>
      <c r="I1161">
        <f t="shared" si="109"/>
        <v>8.0653341667606231E-3</v>
      </c>
      <c r="J1161">
        <f t="shared" si="110"/>
        <v>2.9488587331603658E-2</v>
      </c>
      <c r="K1161">
        <f t="shared" si="111"/>
        <v>5.5828775385970107E-3</v>
      </c>
      <c r="L1161">
        <f t="shared" si="112"/>
        <v>-2.5286728436184007E-2</v>
      </c>
      <c r="M1161">
        <f t="shared" si="113"/>
        <v>-1.1064826625495858E-2</v>
      </c>
    </row>
    <row r="1162" spans="1:13" x14ac:dyDescent="0.2">
      <c r="A1162" s="6">
        <v>44235</v>
      </c>
      <c r="B1162" s="7">
        <v>13.55</v>
      </c>
      <c r="C1162" s="7">
        <v>105.21</v>
      </c>
      <c r="D1162" s="7">
        <v>271.89</v>
      </c>
      <c r="E1162" s="7">
        <v>166.15</v>
      </c>
      <c r="F1162" s="7">
        <v>39.909999999999997</v>
      </c>
      <c r="G1162" s="7">
        <v>229.33</v>
      </c>
      <c r="H1162">
        <f t="shared" si="108"/>
        <v>-6.0841659256245045E-2</v>
      </c>
      <c r="I1162">
        <f t="shared" si="109"/>
        <v>6.1016492096989568E-3</v>
      </c>
      <c r="J1162">
        <f t="shared" si="110"/>
        <v>1.538121237704817E-2</v>
      </c>
      <c r="K1162">
        <f t="shared" si="111"/>
        <v>5.4315160688076722E-3</v>
      </c>
      <c r="L1162">
        <f t="shared" si="112"/>
        <v>-7.7374652838634794E-3</v>
      </c>
      <c r="M1162">
        <f t="shared" si="113"/>
        <v>-2.2634666817478361E-2</v>
      </c>
    </row>
    <row r="1163" spans="1:13" x14ac:dyDescent="0.2">
      <c r="A1163" s="6">
        <v>44232</v>
      </c>
      <c r="B1163" s="7">
        <v>13.63</v>
      </c>
      <c r="C1163" s="7">
        <v>104.81</v>
      </c>
      <c r="D1163" s="7">
        <v>272.29000000000002</v>
      </c>
      <c r="E1163" s="7">
        <v>167.61</v>
      </c>
      <c r="F1163" s="7">
        <v>40.29</v>
      </c>
      <c r="G1163" s="7">
        <v>224.45</v>
      </c>
      <c r="H1163">
        <f t="shared" si="108"/>
        <v>5.88669838273126E-3</v>
      </c>
      <c r="I1163">
        <f t="shared" si="109"/>
        <v>-3.8091656381103755E-3</v>
      </c>
      <c r="J1163">
        <f t="shared" si="110"/>
        <v>1.4701020693153354E-3</v>
      </c>
      <c r="K1163">
        <f t="shared" si="111"/>
        <v>8.7488573385639465E-3</v>
      </c>
      <c r="L1163">
        <f t="shared" si="112"/>
        <v>9.4763801426133634E-3</v>
      </c>
      <c r="M1163">
        <f t="shared" si="113"/>
        <v>-2.1509049047939596E-2</v>
      </c>
    </row>
    <row r="1164" spans="1:13" x14ac:dyDescent="0.2">
      <c r="A1164" s="6">
        <v>44231</v>
      </c>
      <c r="B1164" s="7">
        <v>13.49</v>
      </c>
      <c r="C1164" s="7">
        <v>104.03</v>
      </c>
      <c r="D1164" s="7">
        <v>268.83999999999997</v>
      </c>
      <c r="E1164" s="7">
        <v>166.55</v>
      </c>
      <c r="F1164" s="7">
        <v>39.799999999999997</v>
      </c>
      <c r="G1164" s="7">
        <v>222.16</v>
      </c>
      <c r="H1164">
        <f t="shared" si="108"/>
        <v>-1.0324575488776825E-2</v>
      </c>
      <c r="I1164">
        <f t="shared" si="109"/>
        <v>-7.469868099282179E-3</v>
      </c>
      <c r="J1164">
        <f t="shared" si="110"/>
        <v>-1.2751267702350303E-2</v>
      </c>
      <c r="K1164">
        <f t="shared" si="111"/>
        <v>-6.3442874994784036E-3</v>
      </c>
      <c r="L1164">
        <f t="shared" si="112"/>
        <v>-1.2236386912863972E-2</v>
      </c>
      <c r="M1164">
        <f t="shared" si="113"/>
        <v>-1.0255122229396972E-2</v>
      </c>
    </row>
    <row r="1165" spans="1:13" x14ac:dyDescent="0.2">
      <c r="A1165" s="6">
        <v>44230</v>
      </c>
      <c r="B1165" s="7">
        <v>13.52</v>
      </c>
      <c r="C1165" s="7">
        <v>103.72</v>
      </c>
      <c r="D1165" s="7">
        <v>268.73</v>
      </c>
      <c r="E1165" s="7">
        <v>165.63</v>
      </c>
      <c r="F1165" s="7">
        <v>39.82</v>
      </c>
      <c r="G1165" s="7">
        <v>227.85</v>
      </c>
      <c r="H1165">
        <f t="shared" si="108"/>
        <v>2.2214003951533763E-3</v>
      </c>
      <c r="I1165">
        <f t="shared" si="109"/>
        <v>-2.9843584123401988E-3</v>
      </c>
      <c r="J1165">
        <f t="shared" si="110"/>
        <v>-4.092490337452711E-4</v>
      </c>
      <c r="K1165">
        <f t="shared" si="111"/>
        <v>-5.5391796756258443E-3</v>
      </c>
      <c r="L1165">
        <f t="shared" si="112"/>
        <v>5.0238634565833568E-4</v>
      </c>
      <c r="M1165">
        <f t="shared" si="113"/>
        <v>2.528967471134742E-2</v>
      </c>
    </row>
    <row r="1166" spans="1:13" x14ac:dyDescent="0.2">
      <c r="A1166" s="6">
        <v>44229</v>
      </c>
      <c r="B1166" s="7">
        <v>13.2</v>
      </c>
      <c r="C1166" s="7">
        <v>103.61</v>
      </c>
      <c r="D1166" s="7">
        <v>270.2</v>
      </c>
      <c r="E1166" s="7">
        <v>169</v>
      </c>
      <c r="F1166" s="7">
        <v>40.6</v>
      </c>
      <c r="G1166" s="7">
        <v>230.44</v>
      </c>
      <c r="H1166">
        <f t="shared" si="108"/>
        <v>-2.3953241022492872E-2</v>
      </c>
      <c r="I1166">
        <f t="shared" si="109"/>
        <v>-1.0611104068032032E-3</v>
      </c>
      <c r="J1166">
        <f t="shared" si="110"/>
        <v>5.4552674580787873E-3</v>
      </c>
      <c r="K1166">
        <f t="shared" si="111"/>
        <v>2.0142329959010576E-2</v>
      </c>
      <c r="L1166">
        <f t="shared" si="112"/>
        <v>1.9398767971636744E-2</v>
      </c>
      <c r="M1166">
        <f t="shared" si="113"/>
        <v>1.1303007154290817E-2</v>
      </c>
    </row>
    <row r="1167" spans="1:13" x14ac:dyDescent="0.2">
      <c r="A1167" s="6">
        <v>44228</v>
      </c>
      <c r="B1167" s="7">
        <v>12.95</v>
      </c>
      <c r="C1167" s="7">
        <v>103.06</v>
      </c>
      <c r="D1167" s="7">
        <v>267.8</v>
      </c>
      <c r="E1167" s="7">
        <v>167.14</v>
      </c>
      <c r="F1167" s="7">
        <v>41</v>
      </c>
      <c r="G1167" s="7">
        <v>231.62</v>
      </c>
      <c r="H1167">
        <f t="shared" si="108"/>
        <v>-1.9121041446778397E-2</v>
      </c>
      <c r="I1167">
        <f t="shared" si="109"/>
        <v>-5.3225073635821641E-3</v>
      </c>
      <c r="J1167">
        <f t="shared" si="110"/>
        <v>-8.9219922690262216E-3</v>
      </c>
      <c r="K1167">
        <f t="shared" si="111"/>
        <v>-1.1066930349783455E-2</v>
      </c>
      <c r="L1167">
        <f t="shared" si="112"/>
        <v>9.8040000966208348E-3</v>
      </c>
      <c r="M1167">
        <f t="shared" si="113"/>
        <v>5.1075728920493739E-3</v>
      </c>
    </row>
    <row r="1168" spans="1:13" x14ac:dyDescent="0.2">
      <c r="A1168" s="6">
        <v>44225</v>
      </c>
      <c r="B1168" s="7">
        <v>13.01</v>
      </c>
      <c r="C1168" s="7">
        <v>103.51</v>
      </c>
      <c r="D1168" s="7">
        <v>264.95</v>
      </c>
      <c r="E1168" s="7">
        <v>160.31</v>
      </c>
      <c r="F1168" s="7">
        <v>40.54</v>
      </c>
      <c r="G1168" s="7">
        <v>228.72</v>
      </c>
      <c r="H1168">
        <f t="shared" si="108"/>
        <v>4.6225043788672296E-3</v>
      </c>
      <c r="I1168">
        <f t="shared" si="109"/>
        <v>4.356883495580729E-3</v>
      </c>
      <c r="J1168">
        <f t="shared" si="110"/>
        <v>-1.0699304318301118E-2</v>
      </c>
      <c r="K1168">
        <f t="shared" si="111"/>
        <v>-4.1722343871707757E-2</v>
      </c>
      <c r="L1168">
        <f t="shared" si="112"/>
        <v>-1.1282925680453837E-2</v>
      </c>
      <c r="M1168">
        <f t="shared" si="113"/>
        <v>-1.2599549742175257E-2</v>
      </c>
    </row>
    <row r="1169" spans="1:13" x14ac:dyDescent="0.2">
      <c r="A1169" s="6">
        <v>44224</v>
      </c>
      <c r="B1169" s="7">
        <v>12.88</v>
      </c>
      <c r="C1169" s="7">
        <v>103.73</v>
      </c>
      <c r="D1169" s="7">
        <v>266.45999999999998</v>
      </c>
      <c r="E1169" s="7">
        <v>161.88</v>
      </c>
      <c r="F1169" s="7">
        <v>41.18</v>
      </c>
      <c r="G1169" s="7">
        <v>225.98</v>
      </c>
      <c r="H1169">
        <f t="shared" si="108"/>
        <v>-1.0042571848206314E-2</v>
      </c>
      <c r="I1169">
        <f t="shared" si="109"/>
        <v>2.1231430480777515E-3</v>
      </c>
      <c r="J1169">
        <f t="shared" si="110"/>
        <v>5.6830095932948526E-3</v>
      </c>
      <c r="K1169">
        <f t="shared" si="111"/>
        <v>9.745879306082535E-3</v>
      </c>
      <c r="L1169">
        <f t="shared" si="112"/>
        <v>1.5663560575789326E-2</v>
      </c>
      <c r="M1169">
        <f t="shared" si="113"/>
        <v>-1.2052048232956228E-2</v>
      </c>
    </row>
    <row r="1170" spans="1:13" x14ac:dyDescent="0.2">
      <c r="A1170" s="6">
        <v>44223</v>
      </c>
      <c r="B1170" s="7">
        <v>13.4</v>
      </c>
      <c r="C1170" s="7">
        <v>101.98</v>
      </c>
      <c r="D1170" s="7">
        <v>264.86</v>
      </c>
      <c r="E1170" s="7">
        <v>161.63</v>
      </c>
      <c r="F1170" s="7">
        <v>41.57</v>
      </c>
      <c r="G1170" s="7">
        <v>230.16</v>
      </c>
      <c r="H1170">
        <f t="shared" si="108"/>
        <v>3.9578986280658146E-2</v>
      </c>
      <c r="I1170">
        <f t="shared" si="109"/>
        <v>-1.7014653816726958E-2</v>
      </c>
      <c r="J1170">
        <f t="shared" si="110"/>
        <v>-6.0227540332474403E-3</v>
      </c>
      <c r="K1170">
        <f t="shared" si="111"/>
        <v>-1.545547585947578E-3</v>
      </c>
      <c r="L1170">
        <f t="shared" si="112"/>
        <v>9.4260516649027314E-3</v>
      </c>
      <c r="M1170">
        <f t="shared" si="113"/>
        <v>1.8328219462192208E-2</v>
      </c>
    </row>
    <row r="1171" spans="1:13" x14ac:dyDescent="0.2">
      <c r="A1171" s="6">
        <v>44222</v>
      </c>
      <c r="B1171" s="7">
        <v>13.61</v>
      </c>
      <c r="C1171" s="7">
        <v>102.24</v>
      </c>
      <c r="D1171" s="7">
        <v>265.02</v>
      </c>
      <c r="E1171" s="7">
        <v>166.31</v>
      </c>
      <c r="F1171" s="7">
        <v>42.28</v>
      </c>
      <c r="G1171" s="7">
        <v>236.6</v>
      </c>
      <c r="H1171">
        <f t="shared" si="108"/>
        <v>1.5550109706508986E-2</v>
      </c>
      <c r="I1171">
        <f t="shared" si="109"/>
        <v>2.5462750022148999E-3</v>
      </c>
      <c r="J1171">
        <f t="shared" si="110"/>
        <v>6.0391033767161098E-4</v>
      </c>
      <c r="K1171">
        <f t="shared" si="111"/>
        <v>2.8543744260331197E-2</v>
      </c>
      <c r="L1171">
        <f t="shared" si="112"/>
        <v>1.6935407737490749E-2</v>
      </c>
      <c r="M1171">
        <f t="shared" si="113"/>
        <v>2.7596232300993843E-2</v>
      </c>
    </row>
    <row r="1172" spans="1:13" x14ac:dyDescent="0.2">
      <c r="A1172" s="6">
        <v>44221</v>
      </c>
      <c r="B1172" s="7">
        <v>13.67</v>
      </c>
      <c r="C1172" s="7">
        <v>95.3</v>
      </c>
      <c r="D1172" s="7">
        <v>265.44</v>
      </c>
      <c r="E1172" s="7">
        <v>164.7</v>
      </c>
      <c r="F1172" s="7">
        <v>42.97</v>
      </c>
      <c r="G1172" s="7">
        <v>244.22</v>
      </c>
      <c r="H1172">
        <f t="shared" si="108"/>
        <v>4.3988340724835798E-3</v>
      </c>
      <c r="I1172">
        <f t="shared" si="109"/>
        <v>-7.0293179969068198E-2</v>
      </c>
      <c r="J1172">
        <f t="shared" si="110"/>
        <v>1.5835316056442201E-3</v>
      </c>
      <c r="K1172">
        <f t="shared" si="111"/>
        <v>-9.7278794984539847E-3</v>
      </c>
      <c r="L1172">
        <f t="shared" si="112"/>
        <v>1.6188036784866838E-2</v>
      </c>
      <c r="M1172">
        <f t="shared" si="113"/>
        <v>3.1698506860589358E-2</v>
      </c>
    </row>
    <row r="1173" spans="1:13" x14ac:dyDescent="0.2">
      <c r="A1173" s="6">
        <v>44218</v>
      </c>
      <c r="B1173" s="7">
        <v>13.83</v>
      </c>
      <c r="C1173" s="7">
        <v>94.01</v>
      </c>
      <c r="D1173" s="7">
        <v>260.39999999999998</v>
      </c>
      <c r="E1173" s="7">
        <v>164.61</v>
      </c>
      <c r="F1173" s="7">
        <v>43.17</v>
      </c>
      <c r="G1173" s="7">
        <v>247.57</v>
      </c>
      <c r="H1173">
        <f t="shared" si="108"/>
        <v>1.163649494080864E-2</v>
      </c>
      <c r="I1173">
        <f t="shared" si="109"/>
        <v>-1.3628651069696789E-2</v>
      </c>
      <c r="J1173">
        <f t="shared" si="110"/>
        <v>-1.9169916107720286E-2</v>
      </c>
      <c r="K1173">
        <f t="shared" si="111"/>
        <v>-5.4659744460077266E-4</v>
      </c>
      <c r="L1173">
        <f t="shared" si="112"/>
        <v>4.6436117804824215E-3</v>
      </c>
      <c r="M1173">
        <f t="shared" si="113"/>
        <v>1.3623911898318483E-2</v>
      </c>
    </row>
    <row r="1174" spans="1:13" x14ac:dyDescent="0.2">
      <c r="A1174" s="6">
        <v>44217</v>
      </c>
      <c r="B1174" s="7">
        <v>13.33</v>
      </c>
      <c r="C1174" s="7">
        <v>90.74</v>
      </c>
      <c r="D1174" s="7">
        <v>256.75</v>
      </c>
      <c r="E1174" s="7">
        <v>165.35</v>
      </c>
      <c r="F1174" s="7">
        <v>42.96</v>
      </c>
      <c r="G1174" s="7">
        <v>250.59</v>
      </c>
      <c r="H1174">
        <f t="shared" si="108"/>
        <v>-3.682301148604953E-2</v>
      </c>
      <c r="I1174">
        <f t="shared" si="109"/>
        <v>-3.5402885354641804E-2</v>
      </c>
      <c r="J1174">
        <f t="shared" si="110"/>
        <v>-1.4116061525746425E-2</v>
      </c>
      <c r="K1174">
        <f t="shared" si="111"/>
        <v>4.485399688807918E-3</v>
      </c>
      <c r="L1174">
        <f t="shared" si="112"/>
        <v>-4.8763593667769294E-3</v>
      </c>
      <c r="M1174">
        <f t="shared" si="113"/>
        <v>1.212476713273051E-2</v>
      </c>
    </row>
    <row r="1175" spans="1:13" x14ac:dyDescent="0.2">
      <c r="A1175" s="6">
        <v>44216</v>
      </c>
      <c r="B1175" s="7">
        <v>12.99</v>
      </c>
      <c r="C1175" s="7">
        <v>92.03</v>
      </c>
      <c r="D1175" s="7">
        <v>263.38</v>
      </c>
      <c r="E1175" s="7">
        <v>163.16999999999999</v>
      </c>
      <c r="F1175" s="7">
        <v>45.94</v>
      </c>
      <c r="G1175" s="7">
        <v>248.71</v>
      </c>
      <c r="H1175">
        <f t="shared" si="108"/>
        <v>-2.5837303508109154E-2</v>
      </c>
      <c r="I1175">
        <f t="shared" si="109"/>
        <v>1.4116336614947675E-2</v>
      </c>
      <c r="J1175">
        <f t="shared" si="110"/>
        <v>2.5495007473406536E-2</v>
      </c>
      <c r="K1175">
        <f t="shared" si="111"/>
        <v>-1.3271837324822745E-2</v>
      </c>
      <c r="L1175">
        <f t="shared" si="112"/>
        <v>6.7066747060342963E-2</v>
      </c>
      <c r="M1175">
        <f t="shared" si="113"/>
        <v>-7.5305783476755728E-3</v>
      </c>
    </row>
    <row r="1176" spans="1:13" x14ac:dyDescent="0.2">
      <c r="A1176" s="6">
        <v>44215</v>
      </c>
      <c r="B1176" s="7">
        <v>12.82</v>
      </c>
      <c r="C1176" s="7">
        <v>90.32</v>
      </c>
      <c r="D1176" s="7">
        <v>270.47000000000003</v>
      </c>
      <c r="E1176" s="7">
        <v>156.04</v>
      </c>
      <c r="F1176" s="7">
        <v>45.46</v>
      </c>
      <c r="G1176" s="7">
        <v>243.81</v>
      </c>
      <c r="H1176">
        <f t="shared" si="108"/>
        <v>-1.3173379189984152E-2</v>
      </c>
      <c r="I1176">
        <f t="shared" si="109"/>
        <v>-1.8755691009359001E-2</v>
      </c>
      <c r="J1176">
        <f t="shared" si="110"/>
        <v>2.6563330123837579E-2</v>
      </c>
      <c r="K1176">
        <f t="shared" si="111"/>
        <v>-4.4680217464523227E-2</v>
      </c>
      <c r="L1176">
        <f t="shared" si="112"/>
        <v>-1.0503378836555015E-2</v>
      </c>
      <c r="M1176">
        <f t="shared" si="113"/>
        <v>-1.9898325655025879E-2</v>
      </c>
    </row>
    <row r="1177" spans="1:13" x14ac:dyDescent="0.2">
      <c r="A1177" s="6">
        <v>44211</v>
      </c>
      <c r="B1177" s="7">
        <v>13.16</v>
      </c>
      <c r="C1177" s="7">
        <v>94.74</v>
      </c>
      <c r="D1177" s="7">
        <v>280.32</v>
      </c>
      <c r="E1177" s="7">
        <v>155.21</v>
      </c>
      <c r="F1177" s="7">
        <v>45.08</v>
      </c>
      <c r="G1177" s="7">
        <v>245.69</v>
      </c>
      <c r="H1177">
        <f t="shared" si="108"/>
        <v>2.6175474404647237E-2</v>
      </c>
      <c r="I1177">
        <f t="shared" si="109"/>
        <v>4.7777377654199073E-2</v>
      </c>
      <c r="J1177">
        <f t="shared" si="110"/>
        <v>3.5770621342114818E-2</v>
      </c>
      <c r="K1177">
        <f t="shared" si="111"/>
        <v>-5.3333459753625049E-3</v>
      </c>
      <c r="L1177">
        <f t="shared" si="112"/>
        <v>-8.3941292528216058E-3</v>
      </c>
      <c r="M1177">
        <f t="shared" si="113"/>
        <v>7.6813452249411083E-3</v>
      </c>
    </row>
    <row r="1178" spans="1:13" x14ac:dyDescent="0.2">
      <c r="A1178" s="6">
        <v>44210</v>
      </c>
      <c r="B1178" s="7">
        <v>13.49</v>
      </c>
      <c r="C1178" s="7">
        <v>94.07</v>
      </c>
      <c r="D1178" s="7">
        <v>276.31</v>
      </c>
      <c r="E1178" s="7">
        <v>156.37</v>
      </c>
      <c r="F1178" s="7">
        <v>44.94</v>
      </c>
      <c r="G1178" s="7">
        <v>245.29</v>
      </c>
      <c r="H1178">
        <f t="shared" si="108"/>
        <v>2.4766744322493393E-2</v>
      </c>
      <c r="I1178">
        <f t="shared" si="109"/>
        <v>-7.0971115117456768E-3</v>
      </c>
      <c r="J1178">
        <f t="shared" si="110"/>
        <v>-1.4408383929254229E-2</v>
      </c>
      <c r="K1178">
        <f t="shared" si="111"/>
        <v>7.4459551923256291E-3</v>
      </c>
      <c r="L1178">
        <f t="shared" si="112"/>
        <v>-3.1104224143925024E-3</v>
      </c>
      <c r="M1178">
        <f t="shared" si="113"/>
        <v>-1.6293946331726553E-3</v>
      </c>
    </row>
    <row r="1179" spans="1:13" x14ac:dyDescent="0.2">
      <c r="A1179" s="6">
        <v>44209</v>
      </c>
      <c r="B1179" s="7">
        <v>13.45</v>
      </c>
      <c r="C1179" s="7">
        <v>93.98</v>
      </c>
      <c r="D1179" s="7">
        <v>272.82</v>
      </c>
      <c r="E1179" s="7">
        <v>158.29</v>
      </c>
      <c r="F1179" s="7">
        <v>44.98</v>
      </c>
      <c r="G1179" s="7">
        <v>246.73</v>
      </c>
      <c r="H1179">
        <f t="shared" si="108"/>
        <v>-2.9695641718164318E-3</v>
      </c>
      <c r="I1179">
        <f t="shared" si="109"/>
        <v>-9.5719230919027152E-4</v>
      </c>
      <c r="J1179">
        <f t="shared" si="110"/>
        <v>-1.2711186753798271E-2</v>
      </c>
      <c r="K1179">
        <f t="shared" si="111"/>
        <v>1.220379984222811E-2</v>
      </c>
      <c r="L1179">
        <f t="shared" si="112"/>
        <v>8.896797739864499E-4</v>
      </c>
      <c r="M1179">
        <f t="shared" si="113"/>
        <v>5.8534373054960013E-3</v>
      </c>
    </row>
    <row r="1180" spans="1:13" x14ac:dyDescent="0.2">
      <c r="A1180" s="6">
        <v>44208</v>
      </c>
      <c r="B1180" s="7">
        <v>13.58</v>
      </c>
      <c r="C1180" s="7">
        <v>93.56</v>
      </c>
      <c r="D1180" s="7">
        <v>271.2</v>
      </c>
      <c r="E1180" s="7">
        <v>156.04</v>
      </c>
      <c r="F1180" s="7">
        <v>45.51</v>
      </c>
      <c r="G1180" s="7">
        <v>245.03</v>
      </c>
      <c r="H1180">
        <f t="shared" si="108"/>
        <v>9.6190160827020529E-3</v>
      </c>
      <c r="I1180">
        <f t="shared" si="109"/>
        <v>-4.4790519586913801E-3</v>
      </c>
      <c r="J1180">
        <f t="shared" si="110"/>
        <v>-5.955680998733697E-3</v>
      </c>
      <c r="K1180">
        <f t="shared" si="111"/>
        <v>-1.431640905919123E-2</v>
      </c>
      <c r="L1180">
        <f t="shared" si="112"/>
        <v>1.171413549738096E-2</v>
      </c>
      <c r="M1180">
        <f t="shared" si="113"/>
        <v>-6.9139693024329596E-3</v>
      </c>
    </row>
    <row r="1181" spans="1:13" x14ac:dyDescent="0.2">
      <c r="A1181" s="6">
        <v>44207</v>
      </c>
      <c r="B1181" s="7">
        <v>13.24</v>
      </c>
      <c r="C1181" s="7">
        <v>93.36</v>
      </c>
      <c r="D1181" s="7">
        <v>265.83999999999997</v>
      </c>
      <c r="E1181" s="7">
        <v>155.71</v>
      </c>
      <c r="F1181" s="7">
        <v>45.26</v>
      </c>
      <c r="G1181" s="7">
        <v>247.92</v>
      </c>
      <c r="H1181">
        <f t="shared" si="108"/>
        <v>-2.5355571621687941E-2</v>
      </c>
      <c r="I1181">
        <f t="shared" si="109"/>
        <v>-2.1399537376777279E-3</v>
      </c>
      <c r="J1181">
        <f t="shared" si="110"/>
        <v>-1.9961932019901756E-2</v>
      </c>
      <c r="K1181">
        <f t="shared" si="111"/>
        <v>-2.1170817851223411E-3</v>
      </c>
      <c r="L1181">
        <f t="shared" si="112"/>
        <v>-5.508441823159264E-3</v>
      </c>
      <c r="M1181">
        <f t="shared" si="113"/>
        <v>1.1725461451438379E-2</v>
      </c>
    </row>
    <row r="1182" spans="1:13" x14ac:dyDescent="0.2">
      <c r="A1182" s="6">
        <v>44204</v>
      </c>
      <c r="B1182" s="7">
        <v>13.31</v>
      </c>
      <c r="C1182" s="7">
        <v>88.61</v>
      </c>
      <c r="D1182" s="7">
        <v>259.5</v>
      </c>
      <c r="E1182" s="7">
        <v>159.13</v>
      </c>
      <c r="F1182" s="7">
        <v>45.05</v>
      </c>
      <c r="G1182" s="7">
        <v>246.88</v>
      </c>
      <c r="H1182">
        <f t="shared" si="108"/>
        <v>5.2730818981580408E-3</v>
      </c>
      <c r="I1182">
        <f t="shared" si="109"/>
        <v>-5.2218269919089455E-2</v>
      </c>
      <c r="J1182">
        <f t="shared" si="110"/>
        <v>-2.4137921440395418E-2</v>
      </c>
      <c r="K1182">
        <f t="shared" si="111"/>
        <v>2.1726175368759034E-2</v>
      </c>
      <c r="L1182">
        <f t="shared" si="112"/>
        <v>-4.6506561510443745E-3</v>
      </c>
      <c r="M1182">
        <f t="shared" si="113"/>
        <v>-4.2037248646420861E-3</v>
      </c>
    </row>
    <row r="1183" spans="1:13" x14ac:dyDescent="0.2">
      <c r="A1183" s="6">
        <v>44203</v>
      </c>
      <c r="B1183" s="7">
        <v>12.58</v>
      </c>
      <c r="C1183" s="7">
        <v>85.79</v>
      </c>
      <c r="D1183" s="7">
        <v>249.82</v>
      </c>
      <c r="E1183" s="7">
        <v>158.11000000000001</v>
      </c>
      <c r="F1183" s="7">
        <v>44.48</v>
      </c>
      <c r="G1183" s="7">
        <v>246.85</v>
      </c>
      <c r="H1183">
        <f t="shared" si="108"/>
        <v>-5.6407381134725862E-2</v>
      </c>
      <c r="I1183">
        <f t="shared" si="109"/>
        <v>-3.2342268474337119E-2</v>
      </c>
      <c r="J1183">
        <f t="shared" si="110"/>
        <v>-3.8016044068180176E-2</v>
      </c>
      <c r="K1183">
        <f t="shared" si="111"/>
        <v>-6.4304849000386393E-3</v>
      </c>
      <c r="L1183">
        <f t="shared" si="112"/>
        <v>-1.2733334112019976E-2</v>
      </c>
      <c r="M1183">
        <f t="shared" si="113"/>
        <v>-1.2152390997883452E-4</v>
      </c>
    </row>
    <row r="1184" spans="1:13" x14ac:dyDescent="0.2">
      <c r="A1184" s="6">
        <v>44202</v>
      </c>
      <c r="B1184" s="7">
        <v>13.37</v>
      </c>
      <c r="C1184" s="7">
        <v>85.95</v>
      </c>
      <c r="D1184" s="7">
        <v>244.13</v>
      </c>
      <c r="E1184" s="7">
        <v>156.91999999999999</v>
      </c>
      <c r="F1184" s="7">
        <v>44.06</v>
      </c>
      <c r="G1184" s="7">
        <v>242.73</v>
      </c>
      <c r="H1184">
        <f t="shared" si="108"/>
        <v>6.090513984155721E-2</v>
      </c>
      <c r="I1184">
        <f t="shared" si="109"/>
        <v>1.863282243984303E-3</v>
      </c>
      <c r="J1184">
        <f t="shared" si="110"/>
        <v>-2.3039788239855481E-2</v>
      </c>
      <c r="K1184">
        <f t="shared" si="111"/>
        <v>-7.5548719807020867E-3</v>
      </c>
      <c r="L1184">
        <f t="shared" si="112"/>
        <v>-9.4873085681297566E-3</v>
      </c>
      <c r="M1184">
        <f t="shared" si="113"/>
        <v>-1.6831150217013938E-2</v>
      </c>
    </row>
    <row r="1185" spans="1:13" x14ac:dyDescent="0.2">
      <c r="A1185" s="6">
        <v>44201</v>
      </c>
      <c r="B1185" s="7">
        <v>13.08</v>
      </c>
      <c r="C1185" s="7">
        <v>86.76</v>
      </c>
      <c r="D1185" s="7">
        <v>250.1</v>
      </c>
      <c r="E1185" s="7">
        <v>160.93</v>
      </c>
      <c r="F1185" s="7">
        <v>43.93</v>
      </c>
      <c r="G1185" s="7">
        <v>240.95</v>
      </c>
      <c r="H1185">
        <f t="shared" si="108"/>
        <v>-2.1929045084799054E-2</v>
      </c>
      <c r="I1185">
        <f t="shared" si="109"/>
        <v>9.3799541298154095E-3</v>
      </c>
      <c r="J1185">
        <f t="shared" si="110"/>
        <v>2.4159967585665618E-2</v>
      </c>
      <c r="K1185">
        <f t="shared" si="111"/>
        <v>2.5233366489051751E-2</v>
      </c>
      <c r="L1185">
        <f t="shared" si="112"/>
        <v>-2.954883386508924E-3</v>
      </c>
      <c r="M1185">
        <f t="shared" si="113"/>
        <v>-7.3602714015161847E-3</v>
      </c>
    </row>
    <row r="1186" spans="1:13" x14ac:dyDescent="0.2">
      <c r="A1186" s="6">
        <v>44200</v>
      </c>
      <c r="B1186" s="7">
        <v>13.02</v>
      </c>
      <c r="C1186" s="7">
        <v>86.28</v>
      </c>
      <c r="D1186" s="7">
        <v>249.55</v>
      </c>
      <c r="E1186" s="7">
        <v>159.33000000000001</v>
      </c>
      <c r="F1186" s="7">
        <v>43.46</v>
      </c>
      <c r="G1186" s="7">
        <v>239.1</v>
      </c>
      <c r="H1186">
        <f t="shared" si="108"/>
        <v>-4.5977092486295425E-3</v>
      </c>
      <c r="I1186">
        <f t="shared" si="109"/>
        <v>-5.5478644377180905E-3</v>
      </c>
      <c r="J1186">
        <f t="shared" si="110"/>
        <v>-2.2015419679550711E-3</v>
      </c>
      <c r="K1186">
        <f t="shared" si="111"/>
        <v>-9.991964727986016E-3</v>
      </c>
      <c r="L1186">
        <f t="shared" si="112"/>
        <v>-1.0756483159404601E-2</v>
      </c>
      <c r="M1186">
        <f t="shared" si="113"/>
        <v>-7.7075686220626502E-3</v>
      </c>
    </row>
    <row r="1187" spans="1:13" x14ac:dyDescent="0.2">
      <c r="A1187" s="6">
        <v>44196</v>
      </c>
      <c r="B1187" s="7">
        <v>13.11</v>
      </c>
      <c r="C1187" s="7">
        <v>87.21</v>
      </c>
      <c r="D1187" s="7">
        <v>255.27</v>
      </c>
      <c r="E1187" s="7">
        <v>162.85</v>
      </c>
      <c r="F1187" s="7">
        <v>43.84</v>
      </c>
      <c r="G1187" s="7">
        <v>239.77</v>
      </c>
      <c r="H1187">
        <f t="shared" si="108"/>
        <v>6.8886609951853157E-3</v>
      </c>
      <c r="I1187">
        <f t="shared" si="109"/>
        <v>1.0721181717938602E-2</v>
      </c>
      <c r="J1187">
        <f t="shared" si="110"/>
        <v>2.2662512613957415E-2</v>
      </c>
      <c r="K1187">
        <f t="shared" si="111"/>
        <v>2.1852008619825E-2</v>
      </c>
      <c r="L1187">
        <f t="shared" si="112"/>
        <v>8.7056678114766466E-3</v>
      </c>
      <c r="M1187">
        <f t="shared" si="113"/>
        <v>2.7982560494004402E-3</v>
      </c>
    </row>
    <row r="1188" spans="1:13" x14ac:dyDescent="0.2">
      <c r="A1188" s="6">
        <v>44195</v>
      </c>
      <c r="B1188" s="7">
        <v>12.91</v>
      </c>
      <c r="C1188" s="7">
        <v>89.28</v>
      </c>
      <c r="D1188" s="7">
        <v>265.93</v>
      </c>
      <c r="E1188" s="7">
        <v>164.29</v>
      </c>
      <c r="F1188" s="7">
        <v>44.86</v>
      </c>
      <c r="G1188" s="7">
        <v>246.17</v>
      </c>
      <c r="H1188">
        <f t="shared" si="108"/>
        <v>-1.5373092917057293E-2</v>
      </c>
      <c r="I1188">
        <f t="shared" si="109"/>
        <v>2.3458495394106684E-2</v>
      </c>
      <c r="J1188">
        <f t="shared" si="110"/>
        <v>4.0911307725271871E-2</v>
      </c>
      <c r="K1188">
        <f t="shared" si="111"/>
        <v>8.8036271960029756E-3</v>
      </c>
      <c r="L1188">
        <f t="shared" si="112"/>
        <v>2.2999886452301981E-2</v>
      </c>
      <c r="M1188">
        <f t="shared" si="113"/>
        <v>2.6342223659375563E-2</v>
      </c>
    </row>
    <row r="1189" spans="1:13" x14ac:dyDescent="0.2">
      <c r="A1189" s="6">
        <v>44194</v>
      </c>
      <c r="B1189" s="7">
        <v>12.86</v>
      </c>
      <c r="C1189" s="7">
        <v>88.11</v>
      </c>
      <c r="D1189" s="7">
        <v>267.08999999999997</v>
      </c>
      <c r="E1189" s="7">
        <v>166.1</v>
      </c>
      <c r="F1189" s="7">
        <v>44.89</v>
      </c>
      <c r="G1189" s="7">
        <v>242.63</v>
      </c>
      <c r="H1189">
        <f t="shared" si="108"/>
        <v>-3.8804860490778488E-3</v>
      </c>
      <c r="I1189">
        <f t="shared" si="109"/>
        <v>-1.3191464754362484E-2</v>
      </c>
      <c r="J1189">
        <f t="shared" si="110"/>
        <v>4.35256399884194E-3</v>
      </c>
      <c r="K1189">
        <f t="shared" si="111"/>
        <v>1.0956857701003738E-2</v>
      </c>
      <c r="L1189">
        <f t="shared" si="112"/>
        <v>6.6852370177858216E-4</v>
      </c>
      <c r="M1189">
        <f t="shared" si="113"/>
        <v>-1.4484704962166627E-2</v>
      </c>
    </row>
    <row r="1190" spans="1:13" x14ac:dyDescent="0.2">
      <c r="A1190" s="6">
        <v>44193</v>
      </c>
      <c r="B1190" s="7">
        <v>12.96</v>
      </c>
      <c r="C1190" s="7">
        <v>85.55</v>
      </c>
      <c r="D1190" s="7">
        <v>261.7</v>
      </c>
      <c r="E1190" s="7">
        <v>164.2</v>
      </c>
      <c r="F1190" s="7">
        <v>46.03</v>
      </c>
      <c r="G1190" s="7">
        <v>250.19</v>
      </c>
      <c r="H1190">
        <f t="shared" si="108"/>
        <v>7.7459721146553289E-3</v>
      </c>
      <c r="I1190">
        <f t="shared" si="109"/>
        <v>-2.9485033540435995E-2</v>
      </c>
      <c r="J1190">
        <f t="shared" si="110"/>
        <v>-2.0386870717589319E-2</v>
      </c>
      <c r="K1190">
        <f t="shared" si="111"/>
        <v>-1.1504819600921411E-2</v>
      </c>
      <c r="L1190">
        <f t="shared" si="112"/>
        <v>2.5078305035309341E-2</v>
      </c>
      <c r="M1190">
        <f t="shared" si="113"/>
        <v>3.0682979997600071E-2</v>
      </c>
    </row>
    <row r="1191" spans="1:13" x14ac:dyDescent="0.2">
      <c r="A1191" s="6">
        <v>44189</v>
      </c>
      <c r="B1191" s="7">
        <v>12.97</v>
      </c>
      <c r="C1191" s="7">
        <v>86.41</v>
      </c>
      <c r="D1191" s="7">
        <v>269.31</v>
      </c>
      <c r="E1191" s="7">
        <v>158.63</v>
      </c>
      <c r="F1191" s="7">
        <v>45.62</v>
      </c>
      <c r="G1191" s="7">
        <v>252.39</v>
      </c>
      <c r="H1191">
        <f t="shared" si="108"/>
        <v>7.7130740422382677E-4</v>
      </c>
      <c r="I1191">
        <f t="shared" si="109"/>
        <v>1.0002409515105375E-2</v>
      </c>
      <c r="J1191">
        <f t="shared" si="110"/>
        <v>2.8664322900606692E-2</v>
      </c>
      <c r="K1191">
        <f t="shared" si="111"/>
        <v>-3.4510750597963984E-2</v>
      </c>
      <c r="L1191">
        <f t="shared" si="112"/>
        <v>-8.947140972908189E-3</v>
      </c>
      <c r="M1191">
        <f t="shared" si="113"/>
        <v>8.7548810223435289E-3</v>
      </c>
    </row>
    <row r="1192" spans="1:13" x14ac:dyDescent="0.2">
      <c r="A1192" s="6">
        <v>44188</v>
      </c>
      <c r="B1192" s="7">
        <v>13.24</v>
      </c>
      <c r="C1192" s="7">
        <v>85.72</v>
      </c>
      <c r="D1192" s="7">
        <v>267.29000000000002</v>
      </c>
      <c r="E1192" s="7">
        <v>159.26</v>
      </c>
      <c r="F1192" s="7">
        <v>45.67</v>
      </c>
      <c r="G1192" s="7">
        <v>251.43</v>
      </c>
      <c r="H1192">
        <f t="shared" si="108"/>
        <v>2.0603552180509514E-2</v>
      </c>
      <c r="I1192">
        <f t="shared" si="109"/>
        <v>-8.0172392479315787E-3</v>
      </c>
      <c r="J1192">
        <f t="shared" si="110"/>
        <v>-7.528921140170155E-3</v>
      </c>
      <c r="K1192">
        <f t="shared" si="111"/>
        <v>3.9636404089348383E-3</v>
      </c>
      <c r="L1192">
        <f t="shared" si="112"/>
        <v>1.0954103406656686E-3</v>
      </c>
      <c r="M1192">
        <f t="shared" si="113"/>
        <v>-3.8108894519073132E-3</v>
      </c>
    </row>
    <row r="1193" spans="1:13" x14ac:dyDescent="0.2">
      <c r="A1193" s="6">
        <v>44187</v>
      </c>
      <c r="B1193" s="7">
        <v>13.29</v>
      </c>
      <c r="C1193" s="7">
        <v>87.03</v>
      </c>
      <c r="D1193" s="7">
        <v>271.49</v>
      </c>
      <c r="E1193" s="7">
        <v>160.33000000000001</v>
      </c>
      <c r="F1193" s="7">
        <v>45.2</v>
      </c>
      <c r="G1193" s="7">
        <v>247.05</v>
      </c>
      <c r="H1193">
        <f t="shared" si="108"/>
        <v>3.7693222162916958E-3</v>
      </c>
      <c r="I1193">
        <f t="shared" si="109"/>
        <v>1.5166716196046174E-2</v>
      </c>
      <c r="J1193">
        <f t="shared" si="110"/>
        <v>1.559109498660049E-2</v>
      </c>
      <c r="K1193">
        <f t="shared" si="111"/>
        <v>6.696104371447362E-3</v>
      </c>
      <c r="L1193">
        <f t="shared" si="112"/>
        <v>-1.0344540358722102E-2</v>
      </c>
      <c r="M1193">
        <f t="shared" si="113"/>
        <v>-1.7573875487165439E-2</v>
      </c>
    </row>
    <row r="1194" spans="1:13" x14ac:dyDescent="0.2">
      <c r="A1194" s="6">
        <v>44186</v>
      </c>
      <c r="B1194" s="7">
        <v>13.23</v>
      </c>
      <c r="C1194" s="7">
        <v>86.22</v>
      </c>
      <c r="D1194" s="7">
        <v>270.2</v>
      </c>
      <c r="E1194" s="7">
        <v>160.31</v>
      </c>
      <c r="F1194" s="7">
        <v>45.41</v>
      </c>
      <c r="G1194" s="7">
        <v>242.85</v>
      </c>
      <c r="H1194">
        <f t="shared" si="108"/>
        <v>-4.5248945982895774E-3</v>
      </c>
      <c r="I1194">
        <f t="shared" si="109"/>
        <v>-9.350717482433794E-3</v>
      </c>
      <c r="J1194">
        <f t="shared" si="110"/>
        <v>-4.7628807570387014E-3</v>
      </c>
      <c r="K1194">
        <f t="shared" si="111"/>
        <v>-1.2475049916384413E-4</v>
      </c>
      <c r="L1194">
        <f t="shared" si="112"/>
        <v>4.635258271674202E-3</v>
      </c>
      <c r="M1194">
        <f t="shared" si="113"/>
        <v>-1.7146776500005262E-2</v>
      </c>
    </row>
    <row r="1195" spans="1:13" x14ac:dyDescent="0.2">
      <c r="A1195" s="6">
        <v>44183</v>
      </c>
      <c r="B1195" s="7">
        <v>13.3</v>
      </c>
      <c r="C1195" s="7">
        <v>87.29</v>
      </c>
      <c r="D1195" s="7">
        <v>275.08</v>
      </c>
      <c r="E1195" s="7">
        <v>160.08000000000001</v>
      </c>
      <c r="F1195" s="7">
        <v>44.75</v>
      </c>
      <c r="G1195" s="7">
        <v>241.86</v>
      </c>
      <c r="H1195">
        <f t="shared" si="108"/>
        <v>5.2770571008438193E-3</v>
      </c>
      <c r="I1195">
        <f t="shared" si="109"/>
        <v>1.2333739428269827E-2</v>
      </c>
      <c r="J1195">
        <f t="shared" si="110"/>
        <v>1.7899538925536931E-2</v>
      </c>
      <c r="K1195">
        <f t="shared" si="111"/>
        <v>-1.4357504261041534E-3</v>
      </c>
      <c r="L1195">
        <f t="shared" si="112"/>
        <v>-1.4640900388995355E-2</v>
      </c>
      <c r="M1195">
        <f t="shared" si="113"/>
        <v>-4.0849224346243829E-3</v>
      </c>
    </row>
    <row r="1196" spans="1:13" x14ac:dyDescent="0.2">
      <c r="A1196" s="6">
        <v>44182</v>
      </c>
      <c r="B1196" s="7">
        <v>13.21</v>
      </c>
      <c r="C1196" s="7">
        <v>88.09</v>
      </c>
      <c r="D1196" s="7">
        <v>275.3</v>
      </c>
      <c r="E1196" s="7">
        <v>161.80000000000001</v>
      </c>
      <c r="F1196" s="7">
        <v>45.14</v>
      </c>
      <c r="G1196" s="7">
        <v>243.99</v>
      </c>
      <c r="H1196">
        <f t="shared" si="108"/>
        <v>-6.7899166934741358E-3</v>
      </c>
      <c r="I1196">
        <f t="shared" si="109"/>
        <v>9.1231103744458929E-3</v>
      </c>
      <c r="J1196">
        <f t="shared" si="110"/>
        <v>7.9944769692629478E-4</v>
      </c>
      <c r="K1196">
        <f t="shared" si="111"/>
        <v>1.0687314348913339E-2</v>
      </c>
      <c r="L1196">
        <f t="shared" si="112"/>
        <v>8.6773266685253245E-3</v>
      </c>
      <c r="M1196">
        <f t="shared" si="113"/>
        <v>8.7681944896640766E-3</v>
      </c>
    </row>
    <row r="1197" spans="1:13" x14ac:dyDescent="0.2">
      <c r="A1197" s="6">
        <v>44181</v>
      </c>
      <c r="B1197" s="7">
        <v>13.32</v>
      </c>
      <c r="C1197" s="7">
        <v>86.11</v>
      </c>
      <c r="D1197" s="7">
        <v>265.76</v>
      </c>
      <c r="E1197" s="7">
        <v>162.05000000000001</v>
      </c>
      <c r="F1197" s="7">
        <v>45.86</v>
      </c>
      <c r="G1197" s="7">
        <v>237.57</v>
      </c>
      <c r="H1197">
        <f t="shared" si="108"/>
        <v>8.2925465780091436E-3</v>
      </c>
      <c r="I1197">
        <f t="shared" si="109"/>
        <v>-2.2733470413630504E-2</v>
      </c>
      <c r="J1197">
        <f t="shared" si="110"/>
        <v>-3.5267766283577022E-2</v>
      </c>
      <c r="K1197">
        <f t="shared" si="111"/>
        <v>1.5439249631649646E-3</v>
      </c>
      <c r="L1197">
        <f t="shared" si="112"/>
        <v>1.5824506040368641E-2</v>
      </c>
      <c r="M1197">
        <f t="shared" si="113"/>
        <v>-2.6664923956362798E-2</v>
      </c>
    </row>
    <row r="1198" spans="1:13" x14ac:dyDescent="0.2">
      <c r="A1198" s="6">
        <v>44180</v>
      </c>
      <c r="B1198" s="7">
        <v>13.27</v>
      </c>
      <c r="C1198" s="7">
        <v>85.82</v>
      </c>
      <c r="D1198" s="7">
        <v>266.47000000000003</v>
      </c>
      <c r="E1198" s="7">
        <v>158.26</v>
      </c>
      <c r="F1198" s="7">
        <v>46.01</v>
      </c>
      <c r="G1198" s="7">
        <v>242.63</v>
      </c>
      <c r="H1198">
        <f t="shared" si="108"/>
        <v>-3.7608167681269355E-3</v>
      </c>
      <c r="I1198">
        <f t="shared" si="109"/>
        <v>-3.3734691446952549E-3</v>
      </c>
      <c r="J1198">
        <f t="shared" si="110"/>
        <v>2.6680210479236993E-3</v>
      </c>
      <c r="K1198">
        <f t="shared" si="111"/>
        <v>-2.3665679406509182E-2</v>
      </c>
      <c r="L1198">
        <f t="shared" si="112"/>
        <v>3.2654867376188373E-3</v>
      </c>
      <c r="M1198">
        <f t="shared" si="113"/>
        <v>2.1075332320457624E-2</v>
      </c>
    </row>
    <row r="1199" spans="1:13" x14ac:dyDescent="0.2">
      <c r="A1199" s="6">
        <v>44179</v>
      </c>
      <c r="B1199" s="7">
        <v>12.98</v>
      </c>
      <c r="C1199" s="7">
        <v>85.42</v>
      </c>
      <c r="D1199" s="7">
        <v>265.45</v>
      </c>
      <c r="E1199" s="7">
        <v>157.85</v>
      </c>
      <c r="F1199" s="7">
        <v>46.49</v>
      </c>
      <c r="G1199" s="7">
        <v>244.64</v>
      </c>
      <c r="H1199">
        <f t="shared" si="108"/>
        <v>-2.2096137068172192E-2</v>
      </c>
      <c r="I1199">
        <f t="shared" si="109"/>
        <v>-4.6718141500580665E-3</v>
      </c>
      <c r="J1199">
        <f t="shared" si="110"/>
        <v>-3.8351678832280007E-3</v>
      </c>
      <c r="K1199">
        <f t="shared" si="111"/>
        <v>-2.5940351770466466E-3</v>
      </c>
      <c r="L1199">
        <f t="shared" si="112"/>
        <v>1.0378471535116198E-2</v>
      </c>
      <c r="M1199">
        <f t="shared" si="113"/>
        <v>8.2500929698637541E-3</v>
      </c>
    </row>
    <row r="1200" spans="1:13" x14ac:dyDescent="0.2">
      <c r="A1200" s="6">
        <v>44176</v>
      </c>
      <c r="B1200" s="7">
        <v>12.94</v>
      </c>
      <c r="C1200" s="7">
        <v>86.13</v>
      </c>
      <c r="D1200" s="7">
        <v>271.12</v>
      </c>
      <c r="E1200" s="7">
        <v>155.82</v>
      </c>
      <c r="F1200" s="7">
        <v>45.96</v>
      </c>
      <c r="G1200" s="7">
        <v>240.13</v>
      </c>
      <c r="H1200">
        <f t="shared" si="108"/>
        <v>-3.0864222031895027E-3</v>
      </c>
      <c r="I1200">
        <f t="shared" si="109"/>
        <v>8.2775173877617219E-3</v>
      </c>
      <c r="J1200">
        <f t="shared" si="110"/>
        <v>2.113502826911557E-2</v>
      </c>
      <c r="K1200">
        <f t="shared" si="111"/>
        <v>-1.2943720101288542E-2</v>
      </c>
      <c r="L1200">
        <f t="shared" si="112"/>
        <v>-1.1465782721938425E-2</v>
      </c>
      <c r="M1200">
        <f t="shared" si="113"/>
        <v>-1.8607298820529038E-2</v>
      </c>
    </row>
    <row r="1201" spans="1:13" x14ac:dyDescent="0.2">
      <c r="A1201" s="6">
        <v>44175</v>
      </c>
      <c r="B1201" s="7">
        <v>12.89</v>
      </c>
      <c r="C1201" s="7">
        <v>85.72</v>
      </c>
      <c r="D1201" s="7">
        <v>274.70999999999998</v>
      </c>
      <c r="E1201" s="7">
        <v>155.07</v>
      </c>
      <c r="F1201" s="7">
        <v>45.76</v>
      </c>
      <c r="G1201" s="7">
        <v>238.23</v>
      </c>
      <c r="H1201">
        <f t="shared" si="108"/>
        <v>-3.8714721216583487E-3</v>
      </c>
      <c r="I1201">
        <f t="shared" si="109"/>
        <v>-4.7716121957059139E-3</v>
      </c>
      <c r="J1201">
        <f t="shared" si="110"/>
        <v>1.315446848895444E-2</v>
      </c>
      <c r="K1201">
        <f t="shared" si="111"/>
        <v>-4.8248670266544695E-3</v>
      </c>
      <c r="L1201">
        <f t="shared" si="112"/>
        <v>-4.3611059090125324E-3</v>
      </c>
      <c r="M1201">
        <f t="shared" si="113"/>
        <v>-7.9438497849938575E-3</v>
      </c>
    </row>
    <row r="1202" spans="1:13" x14ac:dyDescent="0.2">
      <c r="A1202" s="6">
        <v>44174</v>
      </c>
      <c r="B1202" s="7">
        <v>13.31</v>
      </c>
      <c r="C1202" s="7">
        <v>86.43</v>
      </c>
      <c r="D1202" s="7">
        <v>272.8</v>
      </c>
      <c r="E1202" s="7">
        <v>155.21</v>
      </c>
      <c r="F1202" s="7">
        <v>45.76</v>
      </c>
      <c r="G1202" s="7">
        <v>235.73</v>
      </c>
      <c r="H1202">
        <f t="shared" si="108"/>
        <v>3.2063815455924155E-2</v>
      </c>
      <c r="I1202">
        <f t="shared" si="109"/>
        <v>8.2486671591706449E-3</v>
      </c>
      <c r="J1202">
        <f t="shared" si="110"/>
        <v>-6.9770698184433416E-3</v>
      </c>
      <c r="K1202">
        <f t="shared" si="111"/>
        <v>9.0241078703574005E-4</v>
      </c>
      <c r="L1202">
        <f t="shared" si="112"/>
        <v>0</v>
      </c>
      <c r="M1202">
        <f t="shared" si="113"/>
        <v>-1.0549511291373088E-2</v>
      </c>
    </row>
    <row r="1203" spans="1:13" x14ac:dyDescent="0.2">
      <c r="A1203" s="6">
        <v>44173</v>
      </c>
      <c r="B1203" s="7">
        <v>13.57</v>
      </c>
      <c r="C1203" s="7">
        <v>87.26</v>
      </c>
      <c r="D1203" s="7">
        <v>273.98</v>
      </c>
      <c r="E1203" s="7">
        <v>158.86000000000001</v>
      </c>
      <c r="F1203" s="7">
        <v>45.77</v>
      </c>
      <c r="G1203" s="7">
        <v>236.89</v>
      </c>
      <c r="H1203">
        <f t="shared" si="108"/>
        <v>1.9345841439757424E-2</v>
      </c>
      <c r="I1203">
        <f t="shared" si="109"/>
        <v>9.5573299309167047E-3</v>
      </c>
      <c r="J1203">
        <f t="shared" si="110"/>
        <v>4.3161850539365056E-3</v>
      </c>
      <c r="K1203">
        <f t="shared" si="111"/>
        <v>2.3244272541892791E-2</v>
      </c>
      <c r="L1203">
        <f t="shared" si="112"/>
        <v>2.1850759400847015E-4</v>
      </c>
      <c r="M1203">
        <f t="shared" si="113"/>
        <v>4.9088160861791401E-3</v>
      </c>
    </row>
    <row r="1204" spans="1:13" x14ac:dyDescent="0.2">
      <c r="C1204" s="7"/>
      <c r="D1204" s="7"/>
      <c r="E1204" s="7"/>
      <c r="F1204" s="7"/>
      <c r="G1204" s="7"/>
    </row>
    <row r="1205" spans="1:13" x14ac:dyDescent="0.2">
      <c r="C1205" s="7"/>
      <c r="D1205" s="7"/>
      <c r="F1205" s="7"/>
      <c r="G1205" s="7"/>
    </row>
    <row r="1206" spans="1:13" x14ac:dyDescent="0.2">
      <c r="C1206" s="7"/>
      <c r="D1206" s="7"/>
      <c r="F1206" s="7"/>
      <c r="G1206" s="7"/>
    </row>
    <row r="1207" spans="1:13" x14ac:dyDescent="0.2">
      <c r="C1207" s="7"/>
      <c r="D1207" s="7"/>
      <c r="F1207" s="7"/>
      <c r="G1207" s="7"/>
    </row>
    <row r="1208" spans="1:13" x14ac:dyDescent="0.2">
      <c r="C1208" s="7"/>
      <c r="D1208" s="7"/>
      <c r="F1208" s="7"/>
      <c r="G1208" s="7"/>
    </row>
    <row r="1209" spans="1:13" x14ac:dyDescent="0.2">
      <c r="C1209" s="7"/>
      <c r="D1209" s="7"/>
      <c r="F1209" s="7"/>
      <c r="G1209" s="7"/>
    </row>
    <row r="1210" spans="1:13" x14ac:dyDescent="0.2">
      <c r="C1210" s="7"/>
      <c r="D1210" s="7"/>
      <c r="F1210" s="7"/>
      <c r="G1210" s="7"/>
    </row>
    <row r="1211" spans="1:13" x14ac:dyDescent="0.2">
      <c r="F1211" s="7"/>
      <c r="G1211" s="7"/>
    </row>
    <row r="1212" spans="1:13" x14ac:dyDescent="0.2">
      <c r="F1212" s="7"/>
      <c r="G1212" s="7"/>
    </row>
    <row r="1213" spans="1:13" x14ac:dyDescent="0.2">
      <c r="F1213" s="7"/>
      <c r="G1213" s="7"/>
    </row>
    <row r="1214" spans="1:13" x14ac:dyDescent="0.2">
      <c r="F1214" s="7"/>
      <c r="G1214" s="7"/>
    </row>
    <row r="1215" spans="1:13" x14ac:dyDescent="0.2">
      <c r="F1215" s="7"/>
      <c r="G1215" s="7"/>
    </row>
    <row r="1216" spans="1:13" x14ac:dyDescent="0.2">
      <c r="F1216" s="7"/>
      <c r="G1216" s="7"/>
    </row>
    <row r="1217" spans="6:7" x14ac:dyDescent="0.2">
      <c r="F1217" s="7"/>
      <c r="G1217" s="7"/>
    </row>
    <row r="1218" spans="6:7" x14ac:dyDescent="0.2">
      <c r="F1218" s="7"/>
      <c r="G1218" s="7"/>
    </row>
    <row r="1219" spans="6:7" x14ac:dyDescent="0.2">
      <c r="F1219" s="7"/>
      <c r="G1219" s="7"/>
    </row>
    <row r="1220" spans="6:7" x14ac:dyDescent="0.2">
      <c r="G1220" s="7"/>
    </row>
    <row r="1221" spans="6:7" x14ac:dyDescent="0.2">
      <c r="F1221" s="7"/>
      <c r="G1221" s="7"/>
    </row>
    <row r="1222" spans="6:7" x14ac:dyDescent="0.2">
      <c r="F1222" s="7"/>
      <c r="G1222" s="7"/>
    </row>
    <row r="1223" spans="6:7" x14ac:dyDescent="0.2">
      <c r="F1223" s="7"/>
      <c r="G1223" s="7"/>
    </row>
    <row r="1224" spans="6:7" x14ac:dyDescent="0.2">
      <c r="F122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BE28-2A6C-FC40-8851-D51E022EBC88}">
  <dimension ref="A1:K1328"/>
  <sheetViews>
    <sheetView zoomScale="150" workbookViewId="0">
      <selection activeCell="E6" sqref="E6"/>
    </sheetView>
  </sheetViews>
  <sheetFormatPr baseColWidth="10" defaultRowHeight="16" x14ac:dyDescent="0.2"/>
  <cols>
    <col min="2" max="2" width="14.6640625" customWidth="1"/>
    <col min="3" max="4" width="15.6640625" customWidth="1"/>
    <col min="5" max="5" width="15.33203125" customWidth="1"/>
    <col min="6" max="6" width="15.5" customWidth="1"/>
    <col min="7" max="7" width="19.6640625" customWidth="1"/>
    <col min="8" max="8" width="17.83203125" customWidth="1"/>
  </cols>
  <sheetData>
    <row r="1" spans="1:11" x14ac:dyDescent="0.2">
      <c r="A1" t="s">
        <v>32</v>
      </c>
      <c r="H1" s="7"/>
      <c r="I1" s="7"/>
      <c r="K1" s="5"/>
    </row>
    <row r="2" spans="1:11" x14ac:dyDescent="0.2">
      <c r="K2" s="6"/>
    </row>
    <row r="3" spans="1:11" x14ac:dyDescent="0.2">
      <c r="A3" t="s">
        <v>8</v>
      </c>
      <c r="B3" s="1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7"/>
      <c r="I3" s="7"/>
      <c r="K3" s="6"/>
    </row>
    <row r="4" spans="1:11" x14ac:dyDescent="0.2">
      <c r="A4" s="1" t="s">
        <v>9</v>
      </c>
      <c r="B4">
        <f>CORREL('ADJ CLOSES - RETURNS'!H3:H1203,'ADJ CLOSES - RETURNS'!H3:H1203)</f>
        <v>1.0000000000000002</v>
      </c>
      <c r="C4">
        <f>CORREL('ADJ CLOSES - RETURNS'!H3:H1203,'ADJ CLOSES - RETURNS'!I3:I1203)</f>
        <v>4.4259214471707692E-2</v>
      </c>
      <c r="D4">
        <f>CORREL('ADJ CLOSES - RETURNS'!H3:H1203,'ADJ CLOSES - RETURNS'!J3:J1203)</f>
        <v>4.5771583607317687E-2</v>
      </c>
      <c r="E4">
        <v>0.35172806858912875</v>
      </c>
      <c r="F4">
        <v>1.5558256498857481E-2</v>
      </c>
      <c r="G4">
        <v>-3.7652594128653157E-3</v>
      </c>
      <c r="H4" s="7"/>
      <c r="I4" s="7"/>
      <c r="K4" s="6"/>
    </row>
    <row r="5" spans="1:11" x14ac:dyDescent="0.2">
      <c r="A5" t="s">
        <v>10</v>
      </c>
      <c r="B5">
        <f>CORREL('ADJ CLOSES - RETURNS'!I3:I1203,'ADJ CLOSES - RETURNS'!H3:H1203)</f>
        <v>4.4259214471707692E-2</v>
      </c>
      <c r="C5">
        <f>CORREL('ADJ CLOSES - RETURNS'!I3:I1203,'ADJ CLOSES - RETURNS'!I3:I1203)</f>
        <v>1</v>
      </c>
      <c r="D5">
        <f>CORREL('ADJ CLOSES - RETURNS'!I3:I1203,'ADJ CLOSES - RETURNS'!J3:J1203)</f>
        <v>0.37951892256920794</v>
      </c>
      <c r="E5">
        <f>CORREL('ADJ CLOSES - RETURNS'!I3:I1203,'ADJ CLOSES - RETURNS'!K3:K1203)</f>
        <v>6.1560393940356247E-3</v>
      </c>
      <c r="F5">
        <f>CORREL('ADJ CLOSES - RETURNS'!I3:I1203,'ADJ CLOSES - RETURNS'!L3:L1203)</f>
        <v>4.8833108000735301E-2</v>
      </c>
      <c r="G5">
        <f>CORREL('ADJ CLOSES - RETURNS'!I3:I1203,'ADJ CLOSES - RETURNS'!M3:M1203)</f>
        <v>-3.3600655100085121E-2</v>
      </c>
      <c r="H5" s="7"/>
      <c r="I5" s="7"/>
      <c r="K5" s="6"/>
    </row>
    <row r="6" spans="1:11" x14ac:dyDescent="0.2">
      <c r="A6" t="s">
        <v>11</v>
      </c>
      <c r="B6">
        <f>CORREL('ADJ CLOSES - RETURNS'!J3:J1203,'ADJ CLOSES - RETURNS'!H3:H1203)</f>
        <v>4.5771583607317687E-2</v>
      </c>
      <c r="C6">
        <f>CORREL('ADJ CLOSES - RETURNS'!J3:J1203,'ADJ CLOSES - RETURNS'!I3:I1203)</f>
        <v>0.37951892256920794</v>
      </c>
      <c r="D6">
        <f>CORREL('ADJ CLOSES - RETURNS'!J3:J1203,'ADJ CLOSES - RETURNS'!J3:J1203)</f>
        <v>0.99999999999999989</v>
      </c>
      <c r="E6">
        <f>CORREL('ADJ CLOSES - RETURNS'!J3:J1203,'ADJ CLOSES - RETURNS'!K3:K1203)</f>
        <v>-4.0633750619959032E-2</v>
      </c>
      <c r="F6">
        <v>0.10831468158269457</v>
      </c>
      <c r="G6">
        <v>-1.8866124985955891E-2</v>
      </c>
      <c r="H6" s="7"/>
      <c r="I6" s="7"/>
      <c r="K6" s="6"/>
    </row>
    <row r="7" spans="1:11" x14ac:dyDescent="0.2">
      <c r="A7" t="s">
        <v>12</v>
      </c>
      <c r="B7">
        <f>CORREL('ADJ CLOSES - RETURNS'!K3:K1203,'ADJ CLOSES - RETURNS'!H3:H1203)</f>
        <v>0.35172806858912875</v>
      </c>
      <c r="C7">
        <f>CORREL('ADJ CLOSES - RETURNS'!K3:K1203,'ADJ CLOSES - RETURNS'!I3:I1203)</f>
        <v>6.1560393940356247E-3</v>
      </c>
      <c r="D7">
        <f>CORREL('ADJ CLOSES - RETURNS'!K3:K1203,'ADJ CLOSES - RETURNS'!J3:J1203)</f>
        <v>-4.0633750619959032E-2</v>
      </c>
      <c r="E7">
        <f>CORREL('ADJ CLOSES - RETURNS'!K3:K1203,'ADJ CLOSES - RETURNS'!K3:K1203)</f>
        <v>1</v>
      </c>
      <c r="F7">
        <f>CORREL('ADJ CLOSES - RETURNS'!K3:K1203,'ADJ CLOSES - RETURNS'!L3:L1203)</f>
        <v>8.0934868668544931E-3</v>
      </c>
      <c r="G7">
        <f>CORREL('ADJ CLOSES - RETURNS'!K3:K1203,'ADJ CLOSES - RETURNS'!M3:M1203)</f>
        <v>-2.0032873032874991E-3</v>
      </c>
      <c r="H7" s="7"/>
      <c r="I7" s="7"/>
      <c r="K7" s="6"/>
    </row>
    <row r="8" spans="1:11" x14ac:dyDescent="0.2">
      <c r="A8" t="s">
        <v>13</v>
      </c>
      <c r="B8">
        <f>CORREL('ADJ CLOSES - RETURNS'!L3:L1203,'ADJ CLOSES - RETURNS'!H3:H1203)</f>
        <v>1.5558256498857481E-2</v>
      </c>
      <c r="C8">
        <f>CORREL('ADJ CLOSES - RETURNS'!L3:L1203,'ADJ CLOSES - RETURNS'!I3:I1203)</f>
        <v>4.8833108000735301E-2</v>
      </c>
      <c r="D8">
        <f>CORREL('ADJ CLOSES - RETURNS'!L3:L1203,'ADJ CLOSES - RETURNS'!J3:J1203)</f>
        <v>0.10831468158269457</v>
      </c>
      <c r="E8">
        <f>CORREL('ADJ CLOSES - RETURNS'!L3:L1203,'ADJ CLOSES - RETURNS'!K3:K1203)</f>
        <v>8.0934868668544931E-3</v>
      </c>
      <c r="F8">
        <f>CORREL('ADJ CLOSES - RETURNS'!L3:L1203,'ADJ CLOSES - RETURNS'!L3:L1203)</f>
        <v>1</v>
      </c>
      <c r="G8">
        <f>CORREL('ADJ CLOSES - RETURNS'!L3:L1203,'ADJ CLOSES - RETURNS'!M3:M1203)</f>
        <v>0.21490229396912655</v>
      </c>
      <c r="H8" s="7"/>
      <c r="I8" s="7"/>
      <c r="K8" s="6"/>
    </row>
    <row r="9" spans="1:11" x14ac:dyDescent="0.2">
      <c r="A9" t="s">
        <v>14</v>
      </c>
      <c r="B9">
        <f>CORREL('ADJ CLOSES - RETURNS'!M3:M1203,'ADJ CLOSES - RETURNS'!H3:H1203)</f>
        <v>-3.7652594128653157E-3</v>
      </c>
      <c r="C9">
        <f>CORREL('ADJ CLOSES - RETURNS'!M3:M1203,'ADJ CLOSES - RETURNS'!I3:I1203)</f>
        <v>-3.3600655100085121E-2</v>
      </c>
      <c r="D9">
        <f>CORREL('ADJ CLOSES - RETURNS'!M3:M1203,'ADJ CLOSES - RETURNS'!J3:J1203)</f>
        <v>-1.8866124985955891E-2</v>
      </c>
      <c r="E9">
        <f>CORREL('ADJ CLOSES - RETURNS'!M3:M1203,'ADJ CLOSES - RETURNS'!K3:K1203)</f>
        <v>-2.0032873032874991E-3</v>
      </c>
      <c r="F9">
        <f>CORREL('ADJ CLOSES - RETURNS'!M3:M1203,'ADJ CLOSES - RETURNS'!L3:L1203)</f>
        <v>0.21490229396912655</v>
      </c>
      <c r="G9">
        <f>CORREL('ADJ CLOSES - RETURNS'!M3:M1203,'ADJ CLOSES - RETURNS'!M3:M1203)</f>
        <v>0.99999999999999989</v>
      </c>
      <c r="H9" s="7"/>
      <c r="I9" s="7"/>
      <c r="K9" s="6"/>
    </row>
    <row r="10" spans="1:11" x14ac:dyDescent="0.2">
      <c r="A10" s="6"/>
      <c r="H10" s="7"/>
      <c r="I10" s="7"/>
      <c r="K10" s="6"/>
    </row>
    <row r="11" spans="1:11" x14ac:dyDescent="0.2">
      <c r="A11" s="6"/>
      <c r="H11" s="7"/>
      <c r="I11" s="7"/>
      <c r="K11" s="6"/>
    </row>
    <row r="12" spans="1:11" x14ac:dyDescent="0.2">
      <c r="A12" s="6"/>
      <c r="H12" s="7"/>
      <c r="I12" s="7"/>
      <c r="K12" s="6"/>
    </row>
    <row r="13" spans="1:11" x14ac:dyDescent="0.2">
      <c r="A13" s="6"/>
      <c r="H13" s="7"/>
      <c r="I13" s="7"/>
      <c r="K13" s="6"/>
    </row>
    <row r="14" spans="1:11" x14ac:dyDescent="0.2">
      <c r="A14" s="6"/>
      <c r="H14" s="7"/>
      <c r="I14" s="7"/>
      <c r="K14" s="6"/>
    </row>
    <row r="15" spans="1:11" x14ac:dyDescent="0.2">
      <c r="A15" s="6"/>
      <c r="H15" s="7"/>
      <c r="I15" s="7"/>
      <c r="K15" s="6"/>
    </row>
    <row r="16" spans="1:11" x14ac:dyDescent="0.2">
      <c r="A16" s="6"/>
      <c r="H16" s="7"/>
      <c r="I16" s="7"/>
      <c r="K16" s="6"/>
    </row>
    <row r="17" spans="1:11" x14ac:dyDescent="0.2">
      <c r="A17" s="6"/>
      <c r="H17" s="7"/>
      <c r="I17" s="7"/>
      <c r="K17" s="6"/>
    </row>
    <row r="18" spans="1:11" x14ac:dyDescent="0.2">
      <c r="A18" s="6"/>
      <c r="H18" s="7"/>
      <c r="I18" s="7"/>
      <c r="K18" s="6"/>
    </row>
    <row r="19" spans="1:11" x14ac:dyDescent="0.2">
      <c r="A19" s="6"/>
      <c r="H19" s="7"/>
      <c r="I19" s="7"/>
      <c r="K19" s="6"/>
    </row>
    <row r="20" spans="1:11" x14ac:dyDescent="0.2">
      <c r="A20" s="6"/>
      <c r="H20" s="7"/>
      <c r="I20" s="7"/>
      <c r="K20" s="6"/>
    </row>
    <row r="21" spans="1:11" x14ac:dyDescent="0.2">
      <c r="A21" s="6"/>
      <c r="H21" s="7"/>
      <c r="I21" s="7"/>
      <c r="K21" s="6"/>
    </row>
    <row r="22" spans="1:11" x14ac:dyDescent="0.2">
      <c r="A22" s="6"/>
      <c r="H22" s="7"/>
      <c r="I22" s="7"/>
      <c r="K22" s="6"/>
    </row>
    <row r="23" spans="1:11" x14ac:dyDescent="0.2">
      <c r="A23" s="6"/>
      <c r="H23" s="7"/>
      <c r="I23" s="7"/>
      <c r="K23" s="6"/>
    </row>
    <row r="24" spans="1:11" x14ac:dyDescent="0.2">
      <c r="A24" s="6"/>
      <c r="H24" s="7"/>
      <c r="I24" s="7"/>
      <c r="K24" s="6"/>
    </row>
    <row r="25" spans="1:11" x14ac:dyDescent="0.2">
      <c r="A25" s="6"/>
      <c r="H25" s="7"/>
      <c r="I25" s="7"/>
      <c r="K25" s="6"/>
    </row>
    <row r="26" spans="1:11" x14ac:dyDescent="0.2">
      <c r="A26" s="6"/>
      <c r="H26" s="7"/>
      <c r="I26" s="7"/>
      <c r="K26" s="6"/>
    </row>
    <row r="27" spans="1:11" x14ac:dyDescent="0.2">
      <c r="A27" s="6"/>
      <c r="H27" s="7"/>
      <c r="I27" s="7"/>
      <c r="K27" s="6"/>
    </row>
    <row r="28" spans="1:11" x14ac:dyDescent="0.2">
      <c r="A28" s="6"/>
      <c r="H28" s="7"/>
      <c r="I28" s="7"/>
      <c r="K28" s="6"/>
    </row>
    <row r="29" spans="1:11" x14ac:dyDescent="0.2">
      <c r="A29" s="6"/>
      <c r="H29" s="7"/>
      <c r="I29" s="7"/>
      <c r="K29" s="6"/>
    </row>
    <row r="30" spans="1:11" x14ac:dyDescent="0.2">
      <c r="A30" s="6"/>
      <c r="H30" s="7"/>
      <c r="I30" s="7"/>
      <c r="K30" s="6"/>
    </row>
    <row r="31" spans="1:11" x14ac:dyDescent="0.2">
      <c r="A31" s="6"/>
      <c r="H31" s="7"/>
      <c r="I31" s="7"/>
      <c r="K31" s="6"/>
    </row>
    <row r="32" spans="1:11" x14ac:dyDescent="0.2">
      <c r="A32" s="6"/>
      <c r="H32" s="7"/>
      <c r="I32" s="7"/>
      <c r="K32" s="6"/>
    </row>
    <row r="33" spans="1:11" x14ac:dyDescent="0.2">
      <c r="A33" s="6"/>
      <c r="H33" s="7"/>
      <c r="I33" s="7"/>
      <c r="K33" s="6"/>
    </row>
    <row r="34" spans="1:11" x14ac:dyDescent="0.2">
      <c r="A34" s="6"/>
      <c r="H34" s="7"/>
      <c r="I34" s="7"/>
      <c r="K34" s="6"/>
    </row>
    <row r="35" spans="1:11" x14ac:dyDescent="0.2">
      <c r="A35" s="6"/>
      <c r="H35" s="7"/>
      <c r="I35" s="7"/>
      <c r="K35" s="6"/>
    </row>
    <row r="36" spans="1:11" x14ac:dyDescent="0.2">
      <c r="A36" s="6"/>
      <c r="H36" s="7"/>
      <c r="I36" s="7"/>
      <c r="K36" s="6"/>
    </row>
    <row r="37" spans="1:11" x14ac:dyDescent="0.2">
      <c r="A37" s="6"/>
      <c r="H37" s="7"/>
      <c r="K37" s="6"/>
    </row>
    <row r="38" spans="1:11" x14ac:dyDescent="0.2">
      <c r="A38" s="6"/>
      <c r="H38" s="7"/>
      <c r="K38" s="6"/>
    </row>
    <row r="39" spans="1:11" x14ac:dyDescent="0.2">
      <c r="A39" s="6"/>
      <c r="H39" s="7"/>
      <c r="K39" s="6"/>
    </row>
    <row r="40" spans="1:11" x14ac:dyDescent="0.2">
      <c r="A40" s="6"/>
      <c r="H40" s="7"/>
      <c r="K40" s="6"/>
    </row>
    <row r="41" spans="1:11" x14ac:dyDescent="0.2">
      <c r="A41" s="6"/>
      <c r="H41" s="7"/>
      <c r="K41" s="6"/>
    </row>
    <row r="42" spans="1:11" x14ac:dyDescent="0.2">
      <c r="A42" s="6"/>
      <c r="H42" s="7"/>
      <c r="K42" s="6"/>
    </row>
    <row r="43" spans="1:11" x14ac:dyDescent="0.2">
      <c r="A43" s="6"/>
      <c r="H43" s="7"/>
      <c r="K43" s="6"/>
    </row>
    <row r="44" spans="1:11" x14ac:dyDescent="0.2">
      <c r="A44" s="6"/>
      <c r="H44" s="7"/>
      <c r="K44" s="6"/>
    </row>
    <row r="45" spans="1:11" x14ac:dyDescent="0.2">
      <c r="A45" s="6"/>
      <c r="H45" s="7"/>
      <c r="K45" s="6"/>
    </row>
    <row r="46" spans="1:11" x14ac:dyDescent="0.2">
      <c r="A46" s="6"/>
      <c r="H46" s="7"/>
      <c r="K46" s="6"/>
    </row>
    <row r="47" spans="1:11" x14ac:dyDescent="0.2">
      <c r="A47" s="6"/>
      <c r="H47" s="7"/>
      <c r="K47" s="6"/>
    </row>
    <row r="48" spans="1:11" x14ac:dyDescent="0.2">
      <c r="A48" s="6"/>
      <c r="H48" s="7"/>
      <c r="K48" s="6"/>
    </row>
    <row r="49" spans="1:11" x14ac:dyDescent="0.2">
      <c r="A49" s="6"/>
      <c r="H49" s="7"/>
      <c r="K49" s="6"/>
    </row>
    <row r="50" spans="1:11" x14ac:dyDescent="0.2">
      <c r="A50" s="6"/>
      <c r="H50" s="7"/>
      <c r="K50" s="6"/>
    </row>
    <row r="51" spans="1:11" x14ac:dyDescent="0.2">
      <c r="A51" s="6"/>
      <c r="H51" s="7"/>
      <c r="K51" s="6"/>
    </row>
    <row r="52" spans="1:11" x14ac:dyDescent="0.2">
      <c r="A52" s="6"/>
      <c r="B52" s="5"/>
      <c r="C52" s="5"/>
      <c r="D52" s="5"/>
      <c r="E52" s="5"/>
      <c r="F52" s="5"/>
      <c r="G52" s="5"/>
      <c r="H52" s="7"/>
      <c r="K52" s="6"/>
    </row>
    <row r="53" spans="1:11" x14ac:dyDescent="0.2">
      <c r="A53" s="6"/>
      <c r="B53" s="7"/>
      <c r="C53" s="7"/>
      <c r="D53" s="7"/>
      <c r="E53" s="7"/>
      <c r="F53" s="7"/>
      <c r="G53" s="8"/>
      <c r="H53" s="7"/>
      <c r="K53" s="6"/>
    </row>
    <row r="54" spans="1:11" x14ac:dyDescent="0.2">
      <c r="A54" s="6"/>
      <c r="B54" s="7"/>
      <c r="H54" s="7"/>
      <c r="K54" s="6"/>
    </row>
    <row r="55" spans="1:11" x14ac:dyDescent="0.2">
      <c r="A55" s="6"/>
      <c r="B55" s="7"/>
      <c r="C55" s="7"/>
      <c r="D55" s="7"/>
      <c r="E55" s="7"/>
      <c r="F55" s="7"/>
      <c r="G55" s="8"/>
      <c r="H55" s="7"/>
      <c r="K55" s="6"/>
    </row>
    <row r="56" spans="1:11" x14ac:dyDescent="0.2">
      <c r="A56" s="6"/>
      <c r="B56" s="7"/>
      <c r="C56" s="7"/>
      <c r="D56" s="7"/>
      <c r="E56" s="7"/>
      <c r="F56" s="7"/>
      <c r="G56" s="8"/>
      <c r="H56" s="7"/>
      <c r="K56" s="6"/>
    </row>
    <row r="57" spans="1:11" x14ac:dyDescent="0.2">
      <c r="A57" s="6"/>
      <c r="B57" s="7"/>
      <c r="C57" s="7"/>
      <c r="D57" s="7"/>
      <c r="E57" s="7"/>
      <c r="F57" s="7"/>
      <c r="G57" s="8"/>
      <c r="H57" s="7"/>
      <c r="K57" s="6"/>
    </row>
    <row r="58" spans="1:11" x14ac:dyDescent="0.2">
      <c r="A58" s="6"/>
      <c r="B58" s="7"/>
      <c r="C58" s="7"/>
      <c r="D58" s="7"/>
      <c r="E58" s="7"/>
      <c r="F58" s="7"/>
      <c r="G58" s="8"/>
      <c r="H58" s="7"/>
      <c r="K58" s="6"/>
    </row>
    <row r="59" spans="1:11" x14ac:dyDescent="0.2">
      <c r="A59" s="6"/>
      <c r="B59" s="7"/>
      <c r="C59" s="7"/>
      <c r="D59" s="7"/>
      <c r="E59" s="7"/>
      <c r="F59" s="7"/>
      <c r="G59" s="8"/>
      <c r="H59" s="7"/>
      <c r="K59" s="6"/>
    </row>
    <row r="60" spans="1:11" x14ac:dyDescent="0.2">
      <c r="A60" s="6"/>
      <c r="B60" s="7"/>
      <c r="C60" s="7"/>
      <c r="D60" s="7"/>
      <c r="E60" s="7"/>
      <c r="F60" s="7"/>
      <c r="G60" s="8"/>
      <c r="H60" s="7"/>
      <c r="K60" s="6"/>
    </row>
    <row r="61" spans="1:11" x14ac:dyDescent="0.2">
      <c r="A61" s="6"/>
      <c r="B61" s="7"/>
      <c r="C61" s="7"/>
      <c r="D61" s="7"/>
      <c r="E61" s="7"/>
      <c r="F61" s="7"/>
      <c r="G61" s="8"/>
      <c r="H61" s="7"/>
      <c r="K61" s="6"/>
    </row>
    <row r="62" spans="1:11" x14ac:dyDescent="0.2">
      <c r="A62" s="6"/>
      <c r="B62" s="7"/>
      <c r="C62" s="7"/>
      <c r="D62" s="7"/>
      <c r="E62" s="7"/>
      <c r="F62" s="7"/>
      <c r="G62" s="8"/>
      <c r="K62" s="6"/>
    </row>
    <row r="63" spans="1:11" x14ac:dyDescent="0.2">
      <c r="A63" s="6"/>
      <c r="B63" s="7"/>
      <c r="C63" s="7"/>
      <c r="D63" s="7"/>
      <c r="E63" s="7"/>
      <c r="F63" s="7"/>
      <c r="G63" s="8"/>
      <c r="H63" s="7"/>
      <c r="K63" s="6"/>
    </row>
    <row r="64" spans="1:11" x14ac:dyDescent="0.2">
      <c r="A64" s="6"/>
      <c r="B64" s="7"/>
      <c r="C64" s="7"/>
      <c r="D64" s="7"/>
      <c r="E64" s="7"/>
      <c r="F64" s="7"/>
      <c r="G64" s="8"/>
      <c r="H64" s="7"/>
      <c r="K64" s="6"/>
    </row>
    <row r="65" spans="1:11" x14ac:dyDescent="0.2">
      <c r="A65" s="6"/>
      <c r="B65" s="7"/>
      <c r="C65" s="7"/>
      <c r="D65" s="7"/>
      <c r="E65" s="7"/>
      <c r="F65" s="7"/>
      <c r="G65" s="8"/>
      <c r="H65" s="7"/>
      <c r="K65" s="6"/>
    </row>
    <row r="66" spans="1:11" x14ac:dyDescent="0.2">
      <c r="A66" s="6"/>
      <c r="B66" s="7"/>
      <c r="C66" s="7"/>
      <c r="D66" s="7"/>
      <c r="E66" s="7"/>
      <c r="F66" s="7"/>
      <c r="G66" s="8"/>
      <c r="H66" s="7"/>
      <c r="K66" s="6"/>
    </row>
    <row r="67" spans="1:11" x14ac:dyDescent="0.2">
      <c r="A67" s="6"/>
      <c r="B67" s="7"/>
      <c r="C67" s="7"/>
      <c r="D67" s="7"/>
      <c r="E67" s="7"/>
      <c r="F67" s="7"/>
      <c r="G67" s="8"/>
      <c r="H67" s="7"/>
      <c r="K67" s="6"/>
    </row>
    <row r="68" spans="1:11" x14ac:dyDescent="0.2">
      <c r="A68" s="6"/>
      <c r="B68" s="7"/>
      <c r="C68" s="7"/>
      <c r="D68" s="7"/>
      <c r="E68" s="7"/>
      <c r="F68" s="7"/>
      <c r="G68" s="8"/>
      <c r="H68" s="7"/>
      <c r="K68" s="6"/>
    </row>
    <row r="69" spans="1:11" x14ac:dyDescent="0.2">
      <c r="A69" s="6"/>
      <c r="B69" s="7"/>
      <c r="C69" s="7"/>
      <c r="D69" s="7"/>
      <c r="E69" s="7"/>
      <c r="F69" s="7"/>
      <c r="G69" s="8"/>
      <c r="H69" s="7"/>
      <c r="K69" s="6"/>
    </row>
    <row r="70" spans="1:11" x14ac:dyDescent="0.2">
      <c r="A70" s="6"/>
      <c r="B70" s="7"/>
      <c r="C70" s="7"/>
      <c r="D70" s="7"/>
      <c r="E70" s="7"/>
      <c r="F70" s="7"/>
      <c r="G70" s="8"/>
      <c r="H70" s="7"/>
      <c r="K70" s="6"/>
    </row>
    <row r="71" spans="1:11" x14ac:dyDescent="0.2">
      <c r="A71" s="6"/>
      <c r="B71" s="7"/>
      <c r="C71" s="7"/>
      <c r="D71" s="7"/>
      <c r="E71" s="7"/>
      <c r="F71" s="7"/>
      <c r="G71" s="8"/>
      <c r="H71" s="7"/>
      <c r="K71" s="6"/>
    </row>
    <row r="72" spans="1:11" x14ac:dyDescent="0.2">
      <c r="A72" s="6"/>
      <c r="B72" s="7"/>
      <c r="C72" s="7"/>
      <c r="D72" s="7"/>
      <c r="E72" s="7"/>
      <c r="F72" s="7"/>
      <c r="G72" s="8"/>
      <c r="H72" s="7"/>
      <c r="K72" s="6"/>
    </row>
    <row r="73" spans="1:11" x14ac:dyDescent="0.2">
      <c r="A73" s="6"/>
      <c r="B73" s="7"/>
      <c r="C73" s="7"/>
      <c r="D73" s="7"/>
      <c r="E73" s="7"/>
      <c r="F73" s="7"/>
      <c r="G73" s="8"/>
      <c r="H73" s="7"/>
      <c r="K73" s="6"/>
    </row>
    <row r="74" spans="1:11" x14ac:dyDescent="0.2">
      <c r="A74" s="6"/>
      <c r="B74" s="7"/>
      <c r="C74" s="7"/>
      <c r="D74" s="7"/>
      <c r="E74" s="7"/>
      <c r="F74" s="7"/>
      <c r="G74" s="8"/>
      <c r="H74" s="7"/>
      <c r="K74" s="6"/>
    </row>
    <row r="75" spans="1:11" x14ac:dyDescent="0.2">
      <c r="A75" s="6"/>
      <c r="B75" s="7"/>
      <c r="C75" s="7"/>
      <c r="D75" s="7"/>
      <c r="E75" s="7"/>
      <c r="F75" s="7"/>
      <c r="G75" s="8"/>
      <c r="H75" s="7"/>
      <c r="K75" s="6"/>
    </row>
    <row r="76" spans="1:11" x14ac:dyDescent="0.2">
      <c r="A76" s="6"/>
      <c r="B76" s="7"/>
      <c r="C76" s="7"/>
      <c r="D76" s="7"/>
      <c r="E76" s="7"/>
      <c r="F76" s="7"/>
      <c r="G76" s="8"/>
      <c r="H76" s="7"/>
      <c r="K76" s="6"/>
    </row>
    <row r="77" spans="1:11" x14ac:dyDescent="0.2">
      <c r="A77" s="6"/>
      <c r="B77" s="7"/>
      <c r="C77" s="7"/>
      <c r="D77" s="7"/>
      <c r="E77" s="7"/>
      <c r="F77" s="7"/>
      <c r="G77" s="8"/>
      <c r="H77" s="7"/>
      <c r="K77" s="6"/>
    </row>
    <row r="78" spans="1:11" x14ac:dyDescent="0.2">
      <c r="A78" s="6"/>
      <c r="B78" s="7"/>
      <c r="C78" s="7"/>
      <c r="D78" s="7"/>
      <c r="E78" s="7"/>
      <c r="F78" s="7"/>
      <c r="G78" s="8"/>
      <c r="H78" s="7"/>
      <c r="K78" s="6"/>
    </row>
    <row r="79" spans="1:11" x14ac:dyDescent="0.2">
      <c r="A79" s="6"/>
      <c r="B79" s="7"/>
      <c r="C79" s="7"/>
      <c r="D79" s="7"/>
      <c r="E79" s="7"/>
      <c r="F79" s="7"/>
      <c r="G79" s="8"/>
      <c r="H79" s="7"/>
      <c r="K79" s="6"/>
    </row>
    <row r="80" spans="1:11" x14ac:dyDescent="0.2">
      <c r="A80" s="6"/>
      <c r="B80" s="7"/>
      <c r="C80" s="7"/>
      <c r="D80" s="7"/>
      <c r="E80" s="7"/>
      <c r="F80" s="7"/>
      <c r="G80" s="8"/>
      <c r="H80" s="7"/>
      <c r="K80" s="6"/>
    </row>
    <row r="81" spans="1:11" x14ac:dyDescent="0.2">
      <c r="A81" s="6"/>
      <c r="B81" s="7"/>
      <c r="C81" s="7"/>
      <c r="D81" s="7"/>
      <c r="E81" s="7"/>
      <c r="F81" s="7"/>
      <c r="G81" s="8"/>
      <c r="H81" s="7"/>
      <c r="K81" s="6"/>
    </row>
    <row r="82" spans="1:11" x14ac:dyDescent="0.2">
      <c r="A82" s="6"/>
      <c r="B82" s="7"/>
      <c r="C82" s="7"/>
      <c r="D82" s="7"/>
      <c r="E82" s="7"/>
      <c r="F82" s="7"/>
      <c r="G82" s="8"/>
      <c r="H82" s="7"/>
      <c r="K82" s="6"/>
    </row>
    <row r="83" spans="1:11" x14ac:dyDescent="0.2">
      <c r="A83" s="6"/>
      <c r="B83" s="7"/>
      <c r="C83" s="7"/>
      <c r="D83" s="7"/>
      <c r="E83" s="7"/>
      <c r="F83" s="7"/>
      <c r="G83" s="8"/>
      <c r="H83" s="7"/>
      <c r="K83" s="6"/>
    </row>
    <row r="84" spans="1:11" x14ac:dyDescent="0.2">
      <c r="A84" s="6"/>
      <c r="B84" s="7"/>
      <c r="C84" s="7"/>
      <c r="D84" s="7"/>
      <c r="E84" s="7"/>
      <c r="F84" s="7"/>
      <c r="G84" s="8"/>
      <c r="H84" s="7"/>
      <c r="K84" s="6"/>
    </row>
    <row r="85" spans="1:11" x14ac:dyDescent="0.2">
      <c r="A85" s="6"/>
      <c r="B85" s="7"/>
      <c r="C85" s="7"/>
      <c r="D85" s="7"/>
      <c r="E85" s="7"/>
      <c r="F85" s="7"/>
      <c r="G85" s="8"/>
      <c r="H85" s="7"/>
      <c r="K85" s="6"/>
    </row>
    <row r="86" spans="1:11" x14ac:dyDescent="0.2">
      <c r="A86" s="6"/>
      <c r="B86" s="7"/>
      <c r="C86" s="7"/>
      <c r="D86" s="7"/>
      <c r="E86" s="7"/>
      <c r="F86" s="7"/>
      <c r="G86" s="8"/>
      <c r="H86" s="7"/>
      <c r="K86" s="6"/>
    </row>
    <row r="87" spans="1:11" x14ac:dyDescent="0.2">
      <c r="A87" s="6"/>
      <c r="B87" s="7"/>
      <c r="C87" s="7"/>
      <c r="D87" s="7"/>
      <c r="E87" s="7"/>
      <c r="F87" s="7"/>
      <c r="G87" s="8"/>
      <c r="H87" s="7"/>
      <c r="K87" s="6"/>
    </row>
    <row r="88" spans="1:11" x14ac:dyDescent="0.2">
      <c r="A88" s="6"/>
      <c r="B88" s="7"/>
      <c r="C88" s="7"/>
      <c r="D88" s="7"/>
      <c r="E88" s="7"/>
      <c r="F88" s="7"/>
      <c r="G88" s="8"/>
      <c r="H88" s="7"/>
      <c r="K88" s="6"/>
    </row>
    <row r="89" spans="1:11" x14ac:dyDescent="0.2">
      <c r="A89" s="6"/>
      <c r="B89" s="7"/>
      <c r="C89" s="7"/>
      <c r="D89" s="7"/>
      <c r="E89" s="7"/>
      <c r="F89" s="7"/>
      <c r="G89" s="8"/>
      <c r="H89" s="7"/>
      <c r="K89" s="6"/>
    </row>
    <row r="90" spans="1:11" x14ac:dyDescent="0.2">
      <c r="A90" s="6"/>
      <c r="B90" s="7"/>
      <c r="C90" s="7"/>
      <c r="D90" s="7"/>
      <c r="E90" s="7"/>
      <c r="F90" s="7"/>
      <c r="G90" s="8"/>
      <c r="H90" s="7"/>
      <c r="K90" s="6"/>
    </row>
    <row r="91" spans="1:11" x14ac:dyDescent="0.2">
      <c r="A91" s="6"/>
      <c r="B91" s="7"/>
      <c r="C91" s="7"/>
      <c r="D91" s="7"/>
      <c r="E91" s="7"/>
      <c r="F91" s="7"/>
      <c r="G91" s="8"/>
      <c r="H91" s="7"/>
      <c r="K91" s="6"/>
    </row>
    <row r="92" spans="1:11" x14ac:dyDescent="0.2">
      <c r="A92" s="6"/>
      <c r="B92" s="7"/>
      <c r="C92" s="7"/>
      <c r="D92" s="7"/>
      <c r="E92" s="7"/>
      <c r="F92" s="7"/>
      <c r="G92" s="8"/>
      <c r="H92" s="7"/>
      <c r="K92" s="6"/>
    </row>
    <row r="93" spans="1:11" x14ac:dyDescent="0.2">
      <c r="A93" s="6"/>
      <c r="B93" s="7"/>
      <c r="C93" s="7"/>
      <c r="D93" s="7"/>
      <c r="E93" s="7"/>
      <c r="F93" s="7"/>
      <c r="G93" s="8"/>
      <c r="H93" s="7"/>
      <c r="K93" s="6"/>
    </row>
    <row r="94" spans="1:11" x14ac:dyDescent="0.2">
      <c r="A94" s="6"/>
      <c r="B94" s="7"/>
      <c r="C94" s="7"/>
      <c r="D94" s="7"/>
      <c r="E94" s="7"/>
      <c r="F94" s="7"/>
      <c r="G94" s="8"/>
      <c r="H94" s="7"/>
      <c r="K94" s="6"/>
    </row>
    <row r="95" spans="1:11" x14ac:dyDescent="0.2">
      <c r="A95" s="6"/>
      <c r="B95" s="7"/>
      <c r="C95" s="7"/>
      <c r="D95" s="7"/>
      <c r="E95" s="7"/>
      <c r="F95" s="7"/>
      <c r="G95" s="8"/>
      <c r="H95" s="7"/>
      <c r="K95" s="6"/>
    </row>
    <row r="96" spans="1:11" x14ac:dyDescent="0.2">
      <c r="A96" s="6"/>
      <c r="B96" s="7"/>
      <c r="C96" s="7"/>
      <c r="D96" s="7"/>
      <c r="E96" s="7"/>
      <c r="F96" s="7"/>
      <c r="G96" s="8"/>
      <c r="H96" s="7"/>
      <c r="K96" s="6"/>
    </row>
    <row r="97" spans="1:11" x14ac:dyDescent="0.2">
      <c r="A97" s="6"/>
      <c r="B97" s="7"/>
      <c r="C97" s="7"/>
      <c r="D97" s="7"/>
      <c r="E97" s="7"/>
      <c r="F97" s="7"/>
      <c r="G97" s="8"/>
      <c r="H97" s="7"/>
      <c r="K97" s="6"/>
    </row>
    <row r="98" spans="1:11" x14ac:dyDescent="0.2">
      <c r="A98" s="6"/>
      <c r="B98" s="7"/>
      <c r="C98" s="7"/>
      <c r="D98" s="7"/>
      <c r="E98" s="7"/>
      <c r="F98" s="7"/>
      <c r="G98" s="8"/>
      <c r="H98" s="7"/>
      <c r="K98" s="6"/>
    </row>
    <row r="99" spans="1:11" x14ac:dyDescent="0.2">
      <c r="A99" s="6"/>
      <c r="B99" s="7"/>
      <c r="C99" s="7"/>
      <c r="D99" s="7"/>
      <c r="E99" s="7"/>
      <c r="F99" s="7"/>
      <c r="G99" s="8"/>
      <c r="H99" s="7"/>
      <c r="K99" s="6"/>
    </row>
    <row r="100" spans="1:11" x14ac:dyDescent="0.2">
      <c r="A100" s="6"/>
      <c r="B100" s="7"/>
      <c r="C100" s="7"/>
      <c r="D100" s="7"/>
      <c r="E100" s="7"/>
      <c r="F100" s="7"/>
      <c r="G100" s="8"/>
      <c r="H100" s="7"/>
      <c r="K100" s="6"/>
    </row>
    <row r="101" spans="1:11" x14ac:dyDescent="0.2">
      <c r="A101" s="6"/>
      <c r="B101" s="7"/>
      <c r="C101" s="7"/>
      <c r="D101" s="7"/>
      <c r="E101" s="7"/>
      <c r="F101" s="7"/>
      <c r="G101" s="8"/>
      <c r="H101" s="7"/>
      <c r="K101" s="6"/>
    </row>
    <row r="102" spans="1:11" x14ac:dyDescent="0.2">
      <c r="A102" s="6"/>
      <c r="B102" s="7"/>
      <c r="C102" s="7"/>
      <c r="D102" s="7"/>
      <c r="E102" s="7"/>
      <c r="F102" s="7"/>
      <c r="G102" s="8"/>
      <c r="H102" s="7"/>
      <c r="K102" s="6"/>
    </row>
    <row r="103" spans="1:11" x14ac:dyDescent="0.2">
      <c r="A103" s="6"/>
      <c r="B103" s="7"/>
      <c r="C103" s="7"/>
      <c r="D103" s="7"/>
      <c r="E103" s="7"/>
      <c r="F103" s="7"/>
      <c r="G103" s="8"/>
      <c r="H103" s="7"/>
      <c r="K103" s="6"/>
    </row>
    <row r="104" spans="1:11" x14ac:dyDescent="0.2">
      <c r="A104" s="6"/>
      <c r="B104" s="7"/>
      <c r="C104" s="7"/>
      <c r="D104" s="7"/>
      <c r="E104" s="7"/>
      <c r="F104" s="7"/>
      <c r="G104" s="8"/>
      <c r="H104" s="7"/>
      <c r="K104" s="6"/>
    </row>
    <row r="105" spans="1:11" x14ac:dyDescent="0.2">
      <c r="A105" s="6"/>
      <c r="B105" s="7"/>
      <c r="C105" s="7"/>
      <c r="D105" s="7"/>
      <c r="E105" s="7"/>
      <c r="F105" s="7"/>
      <c r="G105" s="8"/>
      <c r="H105" s="7"/>
      <c r="K105" s="6"/>
    </row>
    <row r="106" spans="1:11" x14ac:dyDescent="0.2">
      <c r="A106" s="6"/>
      <c r="B106" s="7"/>
      <c r="C106" s="7"/>
      <c r="D106" s="7"/>
      <c r="E106" s="7"/>
      <c r="F106" s="7"/>
      <c r="G106" s="8"/>
      <c r="H106" s="7"/>
      <c r="K106" s="6"/>
    </row>
    <row r="107" spans="1:11" x14ac:dyDescent="0.2">
      <c r="A107" s="6"/>
      <c r="B107" s="7"/>
      <c r="C107" s="7"/>
      <c r="D107" s="7"/>
      <c r="E107" s="7"/>
      <c r="F107" s="7"/>
      <c r="G107" s="8"/>
      <c r="H107" s="7"/>
      <c r="K107" s="6"/>
    </row>
    <row r="108" spans="1:11" x14ac:dyDescent="0.2">
      <c r="A108" s="6"/>
      <c r="B108" s="7"/>
      <c r="C108" s="7"/>
      <c r="D108" s="7"/>
      <c r="E108" s="7"/>
      <c r="F108" s="7"/>
      <c r="G108" s="8"/>
      <c r="H108" s="7"/>
      <c r="K108" s="6"/>
    </row>
    <row r="109" spans="1:11" x14ac:dyDescent="0.2">
      <c r="A109" s="6"/>
      <c r="B109" s="7"/>
      <c r="C109" s="7"/>
      <c r="D109" s="7"/>
      <c r="E109" s="7"/>
      <c r="F109" s="7"/>
      <c r="G109" s="8"/>
      <c r="H109" s="7"/>
      <c r="K109" s="6"/>
    </row>
    <row r="110" spans="1:11" x14ac:dyDescent="0.2">
      <c r="A110" s="6"/>
      <c r="B110" s="7"/>
      <c r="C110" s="7"/>
      <c r="D110" s="7"/>
      <c r="E110" s="7"/>
      <c r="F110" s="7"/>
      <c r="G110" s="8"/>
      <c r="H110" s="7"/>
      <c r="K110" s="6"/>
    </row>
    <row r="111" spans="1:11" x14ac:dyDescent="0.2">
      <c r="A111" s="6"/>
      <c r="B111" s="7"/>
      <c r="C111" s="7"/>
      <c r="D111" s="7"/>
      <c r="E111" s="7"/>
      <c r="F111" s="7"/>
      <c r="G111" s="8"/>
      <c r="H111" s="7"/>
      <c r="K111" s="6"/>
    </row>
    <row r="112" spans="1:11" x14ac:dyDescent="0.2">
      <c r="A112" s="6"/>
      <c r="B112" s="7"/>
      <c r="C112" s="7"/>
      <c r="D112" s="7"/>
      <c r="E112" s="7"/>
      <c r="F112" s="7"/>
      <c r="G112" s="8"/>
      <c r="H112" s="7"/>
      <c r="K112" s="6"/>
    </row>
    <row r="113" spans="1:11" x14ac:dyDescent="0.2">
      <c r="A113" s="6"/>
      <c r="B113" s="7"/>
      <c r="C113" s="7"/>
      <c r="D113" s="7"/>
      <c r="E113" s="7"/>
      <c r="F113" s="7"/>
      <c r="G113" s="8"/>
      <c r="H113" s="7"/>
      <c r="K113" s="6"/>
    </row>
    <row r="114" spans="1:11" x14ac:dyDescent="0.2">
      <c r="A114" s="6"/>
      <c r="B114" s="7"/>
      <c r="C114" s="7"/>
      <c r="D114" s="7"/>
      <c r="E114" s="7"/>
      <c r="F114" s="7"/>
      <c r="G114" s="8"/>
      <c r="H114" s="7"/>
      <c r="K114" s="6"/>
    </row>
    <row r="115" spans="1:11" x14ac:dyDescent="0.2">
      <c r="A115" s="6"/>
      <c r="B115" s="7"/>
      <c r="C115" s="7"/>
      <c r="D115" s="7"/>
      <c r="E115" s="7"/>
      <c r="F115" s="7"/>
      <c r="G115" s="8"/>
      <c r="H115" s="7"/>
      <c r="K115" s="6"/>
    </row>
    <row r="116" spans="1:11" x14ac:dyDescent="0.2">
      <c r="A116" s="6"/>
      <c r="B116" s="7"/>
      <c r="C116" s="7"/>
      <c r="D116" s="7"/>
      <c r="E116" s="7"/>
      <c r="F116" s="7"/>
      <c r="G116" s="8"/>
      <c r="H116" s="7"/>
      <c r="K116" s="6"/>
    </row>
    <row r="117" spans="1:11" x14ac:dyDescent="0.2">
      <c r="A117" s="6"/>
      <c r="B117" s="7"/>
      <c r="C117" s="7"/>
      <c r="D117" s="7"/>
      <c r="E117" s="7"/>
      <c r="F117" s="7"/>
      <c r="G117" s="8"/>
      <c r="H117" s="7"/>
      <c r="K117" s="6"/>
    </row>
    <row r="118" spans="1:11" x14ac:dyDescent="0.2">
      <c r="A118" s="6"/>
      <c r="B118" s="7"/>
      <c r="C118" s="7"/>
      <c r="D118" s="7"/>
      <c r="E118" s="7"/>
      <c r="F118" s="7"/>
      <c r="G118" s="8"/>
      <c r="H118" s="7"/>
      <c r="K118" s="6"/>
    </row>
    <row r="119" spans="1:11" x14ac:dyDescent="0.2">
      <c r="A119" s="6"/>
      <c r="B119" s="7"/>
      <c r="H119" s="7"/>
      <c r="K119" s="6"/>
    </row>
    <row r="120" spans="1:11" x14ac:dyDescent="0.2">
      <c r="A120" s="6"/>
      <c r="B120" s="7"/>
      <c r="C120" s="7"/>
      <c r="D120" s="7"/>
      <c r="E120" s="7"/>
      <c r="F120" s="7"/>
      <c r="G120" s="8"/>
      <c r="H120" s="7"/>
      <c r="K120" s="6"/>
    </row>
    <row r="121" spans="1:11" x14ac:dyDescent="0.2">
      <c r="A121" s="6"/>
      <c r="B121" s="7"/>
      <c r="C121" s="7"/>
      <c r="D121" s="7"/>
      <c r="E121" s="7"/>
      <c r="F121" s="7"/>
      <c r="G121" s="8"/>
      <c r="H121" s="7"/>
      <c r="K121" s="6"/>
    </row>
    <row r="122" spans="1:11" x14ac:dyDescent="0.2">
      <c r="A122" s="6"/>
      <c r="B122" s="7"/>
      <c r="C122" s="7"/>
      <c r="D122" s="7"/>
      <c r="E122" s="7"/>
      <c r="F122" s="7"/>
      <c r="G122" s="8"/>
      <c r="H122" s="7"/>
      <c r="K122" s="6"/>
    </row>
    <row r="123" spans="1:11" x14ac:dyDescent="0.2">
      <c r="A123" s="6"/>
      <c r="B123" s="7"/>
      <c r="C123" s="7"/>
      <c r="D123" s="7"/>
      <c r="E123" s="7"/>
      <c r="F123" s="7"/>
      <c r="G123" s="8"/>
      <c r="H123" s="7"/>
      <c r="K123" s="6"/>
    </row>
    <row r="124" spans="1:11" x14ac:dyDescent="0.2">
      <c r="A124" s="6"/>
      <c r="B124" s="7"/>
      <c r="C124" s="7"/>
      <c r="D124" s="7"/>
      <c r="E124" s="7"/>
      <c r="F124" s="7"/>
      <c r="G124" s="8"/>
      <c r="H124" s="7"/>
      <c r="K124" s="6"/>
    </row>
    <row r="125" spans="1:11" x14ac:dyDescent="0.2">
      <c r="A125" s="6"/>
      <c r="B125" s="7"/>
      <c r="C125" s="7"/>
      <c r="D125" s="7"/>
      <c r="E125" s="7"/>
      <c r="F125" s="7"/>
      <c r="G125" s="8"/>
      <c r="H125" s="7"/>
      <c r="K125" s="6"/>
    </row>
    <row r="126" spans="1:11" x14ac:dyDescent="0.2">
      <c r="A126" s="6"/>
      <c r="B126" s="7"/>
      <c r="C126" s="7"/>
      <c r="D126" s="7"/>
      <c r="E126" s="7"/>
      <c r="F126" s="7"/>
      <c r="G126" s="8"/>
      <c r="K126" s="6"/>
    </row>
    <row r="127" spans="1:11" x14ac:dyDescent="0.2">
      <c r="A127" s="6"/>
      <c r="B127" s="7"/>
      <c r="C127" s="7"/>
      <c r="D127" s="7"/>
      <c r="E127" s="7"/>
      <c r="F127" s="7"/>
      <c r="G127" s="8"/>
      <c r="H127" s="7"/>
      <c r="K127" s="6"/>
    </row>
    <row r="128" spans="1:11" x14ac:dyDescent="0.2">
      <c r="A128" s="6"/>
      <c r="B128" s="7"/>
      <c r="C128" s="7"/>
      <c r="D128" s="7"/>
      <c r="E128" s="7"/>
      <c r="F128" s="7"/>
      <c r="G128" s="8"/>
      <c r="H128" s="7"/>
      <c r="K128" s="6"/>
    </row>
    <row r="129" spans="1:11" x14ac:dyDescent="0.2">
      <c r="A129" s="6"/>
      <c r="B129" s="7"/>
      <c r="C129" s="7"/>
      <c r="D129" s="7"/>
      <c r="E129" s="7"/>
      <c r="F129" s="7"/>
      <c r="G129" s="8"/>
      <c r="H129" s="7"/>
      <c r="K129" s="6"/>
    </row>
    <row r="130" spans="1:11" x14ac:dyDescent="0.2">
      <c r="A130" s="6"/>
      <c r="B130" s="7"/>
      <c r="C130" s="7"/>
      <c r="D130" s="7"/>
      <c r="E130" s="7"/>
      <c r="F130" s="7"/>
      <c r="G130" s="8"/>
      <c r="H130" s="7"/>
      <c r="K130" s="6"/>
    </row>
    <row r="131" spans="1:11" x14ac:dyDescent="0.2">
      <c r="A131" s="6"/>
      <c r="B131" s="7"/>
      <c r="C131" s="7"/>
      <c r="D131" s="7"/>
      <c r="E131" s="7"/>
      <c r="F131" s="7"/>
      <c r="G131" s="8"/>
      <c r="H131" s="7"/>
      <c r="K131" s="6"/>
    </row>
    <row r="132" spans="1:11" x14ac:dyDescent="0.2">
      <c r="A132" s="6"/>
      <c r="B132" s="7"/>
      <c r="C132" s="7"/>
      <c r="D132" s="7"/>
      <c r="E132" s="7"/>
      <c r="F132" s="7"/>
      <c r="G132" s="8"/>
      <c r="H132" s="7"/>
      <c r="K132" s="6"/>
    </row>
    <row r="133" spans="1:11" x14ac:dyDescent="0.2">
      <c r="A133" s="6"/>
      <c r="B133" s="7"/>
      <c r="C133" s="7"/>
      <c r="D133" s="7"/>
      <c r="E133" s="7"/>
      <c r="F133" s="7"/>
      <c r="G133" s="8"/>
      <c r="H133" s="7"/>
      <c r="K133" s="6"/>
    </row>
    <row r="134" spans="1:11" x14ac:dyDescent="0.2">
      <c r="A134" s="6"/>
      <c r="B134" s="7"/>
      <c r="C134" s="7"/>
      <c r="D134" s="7"/>
      <c r="E134" s="7"/>
      <c r="F134" s="7"/>
      <c r="G134" s="8"/>
      <c r="H134" s="7"/>
      <c r="K134" s="6"/>
    </row>
    <row r="135" spans="1:11" x14ac:dyDescent="0.2">
      <c r="A135" s="6"/>
      <c r="B135" s="7"/>
      <c r="C135" s="7"/>
      <c r="D135" s="7"/>
      <c r="E135" s="7"/>
      <c r="F135" s="7"/>
      <c r="G135" s="8"/>
      <c r="H135" s="7"/>
      <c r="K135" s="6"/>
    </row>
    <row r="136" spans="1:11" x14ac:dyDescent="0.2">
      <c r="A136" s="6"/>
      <c r="B136" s="7"/>
      <c r="C136" s="7"/>
      <c r="D136" s="7"/>
      <c r="E136" s="7"/>
      <c r="F136" s="7"/>
      <c r="G136" s="8"/>
      <c r="H136" s="7"/>
      <c r="K136" s="6"/>
    </row>
    <row r="137" spans="1:11" x14ac:dyDescent="0.2">
      <c r="A137" s="6"/>
      <c r="B137" s="7"/>
      <c r="C137" s="7"/>
      <c r="D137" s="7"/>
      <c r="E137" s="7"/>
      <c r="F137" s="7"/>
      <c r="G137" s="8"/>
      <c r="H137" s="7"/>
      <c r="K137" s="6"/>
    </row>
    <row r="138" spans="1:11" x14ac:dyDescent="0.2">
      <c r="A138" s="6"/>
      <c r="B138" s="7"/>
      <c r="C138" s="7"/>
      <c r="D138" s="7"/>
      <c r="E138" s="7"/>
      <c r="F138" s="7"/>
      <c r="G138" s="8"/>
      <c r="H138" s="7"/>
      <c r="K138" s="6"/>
    </row>
    <row r="139" spans="1:11" x14ac:dyDescent="0.2">
      <c r="A139" s="6"/>
      <c r="B139" s="7"/>
      <c r="C139" s="7"/>
      <c r="D139" s="7"/>
      <c r="E139" s="7"/>
      <c r="F139" s="7"/>
      <c r="G139" s="8"/>
      <c r="H139" s="7"/>
      <c r="K139" s="6"/>
    </row>
    <row r="140" spans="1:11" x14ac:dyDescent="0.2">
      <c r="A140" s="6"/>
      <c r="B140" s="7"/>
      <c r="C140" s="7"/>
      <c r="D140" s="7"/>
      <c r="E140" s="7"/>
      <c r="F140" s="7"/>
      <c r="G140" s="8"/>
      <c r="H140" s="7"/>
      <c r="K140" s="6"/>
    </row>
    <row r="141" spans="1:11" x14ac:dyDescent="0.2">
      <c r="A141" s="6"/>
      <c r="B141" s="7"/>
      <c r="C141" s="7"/>
      <c r="D141" s="7"/>
      <c r="E141" s="7"/>
      <c r="F141" s="7"/>
      <c r="G141" s="8"/>
      <c r="H141" s="7"/>
      <c r="K141" s="6"/>
    </row>
    <row r="142" spans="1:11" x14ac:dyDescent="0.2">
      <c r="A142" s="6"/>
      <c r="B142" s="7"/>
      <c r="C142" s="7"/>
      <c r="D142" s="7"/>
      <c r="E142" s="7"/>
      <c r="F142" s="7"/>
      <c r="G142" s="8"/>
      <c r="H142" s="7"/>
      <c r="K142" s="6"/>
    </row>
    <row r="143" spans="1:11" x14ac:dyDescent="0.2">
      <c r="A143" s="6"/>
      <c r="B143" s="7"/>
      <c r="C143" s="7"/>
      <c r="D143" s="7"/>
      <c r="E143" s="7"/>
      <c r="F143" s="7"/>
      <c r="G143" s="8"/>
      <c r="H143" s="7"/>
      <c r="K143" s="6"/>
    </row>
    <row r="144" spans="1:11" x14ac:dyDescent="0.2">
      <c r="A144" s="6"/>
      <c r="B144" s="7"/>
      <c r="C144" s="7"/>
      <c r="D144" s="7"/>
      <c r="E144" s="7"/>
      <c r="F144" s="7"/>
      <c r="G144" s="8"/>
      <c r="H144" s="7"/>
      <c r="K144" s="6"/>
    </row>
    <row r="145" spans="1:11" x14ac:dyDescent="0.2">
      <c r="A145" s="6"/>
      <c r="B145" s="7"/>
      <c r="C145" s="7"/>
      <c r="D145" s="7"/>
      <c r="E145" s="7"/>
      <c r="F145" s="7"/>
      <c r="G145" s="8"/>
      <c r="H145" s="7"/>
      <c r="K145" s="6"/>
    </row>
    <row r="146" spans="1:11" x14ac:dyDescent="0.2">
      <c r="A146" s="6"/>
      <c r="B146" s="7"/>
      <c r="C146" s="7"/>
      <c r="D146" s="7"/>
      <c r="E146" s="7"/>
      <c r="F146" s="7"/>
      <c r="G146" s="8"/>
      <c r="H146" s="7"/>
      <c r="K146" s="6"/>
    </row>
    <row r="147" spans="1:11" x14ac:dyDescent="0.2">
      <c r="A147" s="6"/>
      <c r="B147" s="7"/>
      <c r="C147" s="7"/>
      <c r="D147" s="7"/>
      <c r="E147" s="7"/>
      <c r="F147" s="7"/>
      <c r="G147" s="8"/>
      <c r="H147" s="7"/>
      <c r="K147" s="6"/>
    </row>
    <row r="148" spans="1:11" x14ac:dyDescent="0.2">
      <c r="A148" s="6"/>
      <c r="B148" s="7"/>
      <c r="C148" s="7"/>
      <c r="D148" s="7"/>
      <c r="E148" s="7"/>
      <c r="F148" s="7"/>
      <c r="G148" s="8"/>
      <c r="H148" s="7"/>
      <c r="K148" s="6"/>
    </row>
    <row r="149" spans="1:11" x14ac:dyDescent="0.2">
      <c r="A149" s="6"/>
      <c r="B149" s="7"/>
      <c r="C149" s="7"/>
      <c r="D149" s="7"/>
      <c r="E149" s="7"/>
      <c r="F149" s="7"/>
      <c r="G149" s="8"/>
      <c r="H149" s="7"/>
      <c r="K149" s="6"/>
    </row>
    <row r="150" spans="1:11" x14ac:dyDescent="0.2">
      <c r="A150" s="6"/>
      <c r="B150" s="7"/>
      <c r="C150" s="7"/>
      <c r="D150" s="7"/>
      <c r="E150" s="7"/>
      <c r="F150" s="7"/>
      <c r="G150" s="8"/>
      <c r="H150" s="7"/>
      <c r="K150" s="6"/>
    </row>
    <row r="151" spans="1:11" x14ac:dyDescent="0.2">
      <c r="A151" s="6"/>
      <c r="B151" s="7"/>
      <c r="C151" s="7"/>
      <c r="D151" s="7"/>
      <c r="E151" s="7"/>
      <c r="F151" s="7"/>
      <c r="G151" s="8"/>
      <c r="H151" s="7"/>
      <c r="K151" s="6"/>
    </row>
    <row r="152" spans="1:11" x14ac:dyDescent="0.2">
      <c r="A152" s="6"/>
      <c r="B152" s="7"/>
      <c r="C152" s="7"/>
      <c r="D152" s="7"/>
      <c r="E152" s="7"/>
      <c r="F152" s="7"/>
      <c r="G152" s="8"/>
      <c r="H152" s="7"/>
      <c r="K152" s="6"/>
    </row>
    <row r="153" spans="1:11" x14ac:dyDescent="0.2">
      <c r="A153" s="6"/>
      <c r="B153" s="7"/>
      <c r="C153" s="7"/>
      <c r="D153" s="7"/>
      <c r="E153" s="7"/>
      <c r="F153" s="7"/>
      <c r="G153" s="8"/>
      <c r="H153" s="7"/>
      <c r="K153" s="6"/>
    </row>
    <row r="154" spans="1:11" x14ac:dyDescent="0.2">
      <c r="A154" s="6"/>
      <c r="B154" s="7"/>
      <c r="C154" s="7"/>
      <c r="D154" s="7"/>
      <c r="E154" s="7"/>
      <c r="F154" s="7"/>
      <c r="G154" s="8"/>
      <c r="H154" s="7"/>
      <c r="K154" s="6"/>
    </row>
    <row r="155" spans="1:11" x14ac:dyDescent="0.2">
      <c r="A155" s="6"/>
      <c r="B155" s="7"/>
      <c r="C155" s="7"/>
      <c r="D155" s="7"/>
      <c r="E155" s="7"/>
      <c r="F155" s="7"/>
      <c r="G155" s="8"/>
      <c r="H155" s="7"/>
      <c r="K155" s="6"/>
    </row>
    <row r="156" spans="1:11" x14ac:dyDescent="0.2">
      <c r="A156" s="6"/>
      <c r="B156" s="7"/>
      <c r="C156" s="7"/>
      <c r="D156" s="7"/>
      <c r="E156" s="7"/>
      <c r="F156" s="7"/>
      <c r="G156" s="8"/>
      <c r="H156" s="7"/>
      <c r="K156" s="6"/>
    </row>
    <row r="157" spans="1:11" x14ac:dyDescent="0.2">
      <c r="A157" s="6"/>
      <c r="B157" s="7"/>
      <c r="C157" s="7"/>
      <c r="D157" s="7"/>
      <c r="E157" s="7"/>
      <c r="F157" s="7"/>
      <c r="G157" s="8"/>
      <c r="H157" s="7"/>
      <c r="K157" s="6"/>
    </row>
    <row r="158" spans="1:11" x14ac:dyDescent="0.2">
      <c r="A158" s="6"/>
      <c r="B158" s="7"/>
      <c r="C158" s="7"/>
      <c r="D158" s="7"/>
      <c r="E158" s="7"/>
      <c r="F158" s="7"/>
      <c r="G158" s="8"/>
      <c r="H158" s="7"/>
      <c r="K158" s="6"/>
    </row>
    <row r="159" spans="1:11" x14ac:dyDescent="0.2">
      <c r="A159" s="6"/>
      <c r="B159" s="7"/>
      <c r="C159" s="7"/>
      <c r="D159" s="7"/>
      <c r="E159" s="7"/>
      <c r="F159" s="7"/>
      <c r="G159" s="8"/>
      <c r="H159" s="7"/>
      <c r="K159" s="6"/>
    </row>
    <row r="160" spans="1:11" x14ac:dyDescent="0.2">
      <c r="A160" s="6"/>
      <c r="B160" s="7"/>
      <c r="C160" s="7"/>
      <c r="D160" s="7"/>
      <c r="E160" s="7"/>
      <c r="F160" s="7"/>
      <c r="G160" s="8"/>
      <c r="H160" s="7"/>
      <c r="K160" s="6"/>
    </row>
    <row r="161" spans="1:11" x14ac:dyDescent="0.2">
      <c r="A161" s="6"/>
      <c r="B161" s="7"/>
      <c r="C161" s="7"/>
      <c r="D161" s="7"/>
      <c r="E161" s="7"/>
      <c r="F161" s="7"/>
      <c r="G161" s="8"/>
      <c r="H161" s="7"/>
      <c r="K161" s="6"/>
    </row>
    <row r="162" spans="1:11" x14ac:dyDescent="0.2">
      <c r="A162" s="6"/>
      <c r="B162" s="7"/>
      <c r="C162" s="7"/>
      <c r="D162" s="7"/>
      <c r="E162" s="7"/>
      <c r="F162" s="7"/>
      <c r="G162" s="8"/>
      <c r="H162" s="7"/>
      <c r="K162" s="6"/>
    </row>
    <row r="163" spans="1:11" x14ac:dyDescent="0.2">
      <c r="A163" s="6"/>
      <c r="B163" s="7"/>
      <c r="C163" s="7"/>
      <c r="D163" s="7"/>
      <c r="E163" s="7"/>
      <c r="F163" s="7"/>
      <c r="G163" s="8"/>
      <c r="H163" s="7"/>
      <c r="K163" s="6"/>
    </row>
    <row r="164" spans="1:11" x14ac:dyDescent="0.2">
      <c r="A164" s="6"/>
      <c r="B164" s="7"/>
      <c r="C164" s="7"/>
      <c r="D164" s="7"/>
      <c r="E164" s="7"/>
      <c r="F164" s="7"/>
      <c r="G164" s="8"/>
      <c r="H164" s="7"/>
      <c r="K164" s="6"/>
    </row>
    <row r="165" spans="1:11" x14ac:dyDescent="0.2">
      <c r="A165" s="6"/>
      <c r="B165" s="7"/>
      <c r="C165" s="7"/>
      <c r="D165" s="7"/>
      <c r="E165" s="7"/>
      <c r="F165" s="7"/>
      <c r="G165" s="8"/>
      <c r="H165" s="7"/>
      <c r="K165" s="6"/>
    </row>
    <row r="166" spans="1:11" x14ac:dyDescent="0.2">
      <c r="A166" s="6"/>
      <c r="B166" s="7"/>
      <c r="C166" s="7"/>
      <c r="D166" s="7"/>
      <c r="E166" s="7"/>
      <c r="F166" s="7"/>
      <c r="G166" s="8"/>
      <c r="H166" s="7"/>
      <c r="K166" s="6"/>
    </row>
    <row r="167" spans="1:11" x14ac:dyDescent="0.2">
      <c r="A167" s="6"/>
      <c r="B167" s="7"/>
      <c r="C167" s="7"/>
      <c r="D167" s="7"/>
      <c r="E167" s="7"/>
      <c r="F167" s="7"/>
      <c r="G167" s="8"/>
      <c r="H167" s="7"/>
      <c r="K167" s="6"/>
    </row>
    <row r="168" spans="1:11" x14ac:dyDescent="0.2">
      <c r="A168" s="6"/>
      <c r="B168" s="7"/>
      <c r="C168" s="7"/>
      <c r="D168" s="7"/>
      <c r="E168" s="7"/>
      <c r="F168" s="7"/>
      <c r="G168" s="8"/>
      <c r="H168" s="7"/>
      <c r="K168" s="6"/>
    </row>
    <row r="169" spans="1:11" x14ac:dyDescent="0.2">
      <c r="A169" s="6"/>
      <c r="B169" s="7"/>
      <c r="C169" s="7"/>
      <c r="D169" s="7"/>
      <c r="E169" s="7"/>
      <c r="F169" s="7"/>
      <c r="G169" s="8"/>
      <c r="H169" s="7"/>
      <c r="K169" s="6"/>
    </row>
    <row r="170" spans="1:11" x14ac:dyDescent="0.2">
      <c r="A170" s="6"/>
      <c r="B170" s="7"/>
      <c r="C170" s="7"/>
      <c r="D170" s="7"/>
      <c r="E170" s="7"/>
      <c r="F170" s="7"/>
      <c r="G170" s="8"/>
      <c r="H170" s="7"/>
      <c r="K170" s="6"/>
    </row>
    <row r="171" spans="1:11" x14ac:dyDescent="0.2">
      <c r="A171" s="6"/>
      <c r="B171" s="7"/>
      <c r="C171" s="7"/>
      <c r="D171" s="7"/>
      <c r="E171" s="7"/>
      <c r="F171" s="7"/>
      <c r="G171" s="8"/>
      <c r="H171" s="7"/>
      <c r="K171" s="6"/>
    </row>
    <row r="172" spans="1:11" x14ac:dyDescent="0.2">
      <c r="A172" s="6"/>
      <c r="B172" s="7"/>
      <c r="C172" s="7"/>
      <c r="D172" s="7"/>
      <c r="E172" s="7"/>
      <c r="F172" s="7"/>
      <c r="G172" s="8"/>
      <c r="H172" s="7"/>
      <c r="K172" s="6"/>
    </row>
    <row r="173" spans="1:11" x14ac:dyDescent="0.2">
      <c r="A173" s="6"/>
      <c r="B173" s="7"/>
      <c r="C173" s="7"/>
      <c r="D173" s="7"/>
      <c r="E173" s="7"/>
      <c r="F173" s="7"/>
      <c r="G173" s="8"/>
      <c r="H173" s="7"/>
      <c r="K173" s="6"/>
    </row>
    <row r="174" spans="1:11" x14ac:dyDescent="0.2">
      <c r="A174" s="6"/>
      <c r="B174" s="7"/>
      <c r="C174" s="7"/>
      <c r="D174" s="7"/>
      <c r="E174" s="7"/>
      <c r="F174" s="7"/>
      <c r="G174" s="8"/>
      <c r="H174" s="7"/>
      <c r="K174" s="6"/>
    </row>
    <row r="175" spans="1:11" x14ac:dyDescent="0.2">
      <c r="A175" s="6"/>
      <c r="B175" s="7"/>
      <c r="C175" s="7"/>
      <c r="D175" s="7"/>
      <c r="E175" s="7"/>
      <c r="F175" s="7"/>
      <c r="G175" s="8"/>
      <c r="H175" s="7"/>
      <c r="K175" s="6"/>
    </row>
    <row r="176" spans="1:11" x14ac:dyDescent="0.2">
      <c r="A176" s="6"/>
      <c r="B176" s="7"/>
      <c r="C176" s="7"/>
      <c r="D176" s="7"/>
      <c r="E176" s="7"/>
      <c r="F176" s="7"/>
      <c r="G176" s="8"/>
      <c r="H176" s="7"/>
      <c r="K176" s="6"/>
    </row>
    <row r="177" spans="1:11" x14ac:dyDescent="0.2">
      <c r="A177" s="6"/>
      <c r="B177" s="7"/>
      <c r="C177" s="7"/>
      <c r="D177" s="7"/>
      <c r="E177" s="7"/>
      <c r="F177" s="7"/>
      <c r="G177" s="8"/>
      <c r="H177" s="7"/>
      <c r="K177" s="6"/>
    </row>
    <row r="178" spans="1:11" x14ac:dyDescent="0.2">
      <c r="A178" s="6"/>
      <c r="B178" s="7"/>
      <c r="C178" s="7"/>
      <c r="D178" s="7"/>
      <c r="E178" s="7"/>
      <c r="F178" s="7"/>
      <c r="G178" s="8"/>
      <c r="H178" s="7"/>
      <c r="K178" s="6"/>
    </row>
    <row r="179" spans="1:11" x14ac:dyDescent="0.2">
      <c r="A179" s="6"/>
      <c r="B179" s="7"/>
      <c r="C179" s="7"/>
      <c r="D179" s="7"/>
      <c r="E179" s="7"/>
      <c r="F179" s="7"/>
      <c r="G179" s="8"/>
      <c r="H179" s="7"/>
      <c r="K179" s="6"/>
    </row>
    <row r="180" spans="1:11" x14ac:dyDescent="0.2">
      <c r="A180" s="6"/>
      <c r="B180" s="7"/>
      <c r="C180" s="7"/>
      <c r="D180" s="7"/>
      <c r="E180" s="7"/>
      <c r="F180" s="7"/>
      <c r="G180" s="8"/>
      <c r="H180" s="7"/>
      <c r="K180" s="6"/>
    </row>
    <row r="181" spans="1:11" x14ac:dyDescent="0.2">
      <c r="A181" s="6"/>
      <c r="B181" s="7"/>
      <c r="C181" s="7"/>
      <c r="D181" s="7"/>
      <c r="E181" s="7"/>
      <c r="F181" s="7"/>
      <c r="G181" s="8"/>
      <c r="H181" s="7"/>
      <c r="K181" s="6"/>
    </row>
    <row r="182" spans="1:11" x14ac:dyDescent="0.2">
      <c r="A182" s="6"/>
      <c r="B182" s="7"/>
      <c r="H182" s="7"/>
      <c r="K182" s="6"/>
    </row>
    <row r="183" spans="1:11" x14ac:dyDescent="0.2">
      <c r="A183" s="6"/>
      <c r="B183" s="7"/>
      <c r="C183" s="7"/>
      <c r="D183" s="7"/>
      <c r="E183" s="7"/>
      <c r="F183" s="7"/>
      <c r="G183" s="8"/>
      <c r="H183" s="7"/>
      <c r="K183" s="6"/>
    </row>
    <row r="184" spans="1:11" x14ac:dyDescent="0.2">
      <c r="A184" s="6"/>
      <c r="B184" s="7"/>
      <c r="C184" s="7"/>
      <c r="D184" s="7"/>
      <c r="E184" s="7"/>
      <c r="F184" s="7"/>
      <c r="G184" s="8"/>
      <c r="H184" s="7"/>
      <c r="K184" s="6"/>
    </row>
    <row r="185" spans="1:11" x14ac:dyDescent="0.2">
      <c r="A185" s="6"/>
      <c r="B185" s="7"/>
      <c r="C185" s="7"/>
      <c r="D185" s="7"/>
      <c r="E185" s="7"/>
      <c r="F185" s="7"/>
      <c r="G185" s="8"/>
      <c r="H185" s="7"/>
      <c r="K185" s="6"/>
    </row>
    <row r="186" spans="1:11" x14ac:dyDescent="0.2">
      <c r="A186" s="6"/>
      <c r="B186" s="7"/>
      <c r="C186" s="7"/>
      <c r="D186" s="7"/>
      <c r="E186" s="7"/>
      <c r="F186" s="7"/>
      <c r="G186" s="8"/>
      <c r="H186" s="7"/>
      <c r="K186" s="6"/>
    </row>
    <row r="187" spans="1:11" x14ac:dyDescent="0.2">
      <c r="A187" s="6"/>
      <c r="B187" s="7"/>
      <c r="C187" s="7"/>
      <c r="D187" s="7"/>
      <c r="E187" s="7"/>
      <c r="F187" s="7"/>
      <c r="G187" s="8"/>
      <c r="H187" s="7"/>
      <c r="K187" s="6"/>
    </row>
    <row r="188" spans="1:11" x14ac:dyDescent="0.2">
      <c r="A188" s="6"/>
      <c r="B188" s="7"/>
      <c r="C188" s="7"/>
      <c r="D188" s="7"/>
      <c r="E188" s="7"/>
      <c r="F188" s="7"/>
      <c r="G188" s="8"/>
      <c r="H188" s="7"/>
      <c r="K188" s="6"/>
    </row>
    <row r="189" spans="1:11" x14ac:dyDescent="0.2">
      <c r="A189" s="6"/>
      <c r="B189" s="7"/>
      <c r="C189" s="7"/>
      <c r="D189" s="7"/>
      <c r="E189" s="7"/>
      <c r="F189" s="7"/>
      <c r="G189" s="8"/>
      <c r="H189" s="7"/>
      <c r="K189" s="6"/>
    </row>
    <row r="190" spans="1:11" x14ac:dyDescent="0.2">
      <c r="A190" s="6"/>
      <c r="B190" s="7"/>
      <c r="C190" s="7"/>
      <c r="D190" s="7"/>
      <c r="E190" s="7"/>
      <c r="F190" s="7"/>
      <c r="G190" s="8"/>
      <c r="K190" s="6"/>
    </row>
    <row r="191" spans="1:11" x14ac:dyDescent="0.2">
      <c r="A191" s="6"/>
      <c r="B191" s="7"/>
      <c r="C191" s="7"/>
      <c r="D191" s="7"/>
      <c r="E191" s="7"/>
      <c r="F191" s="7"/>
      <c r="G191" s="8"/>
      <c r="H191" s="7"/>
      <c r="K191" s="6"/>
    </row>
    <row r="192" spans="1:11" x14ac:dyDescent="0.2">
      <c r="A192" s="6"/>
      <c r="B192" s="7"/>
      <c r="C192" s="7"/>
      <c r="D192" s="7"/>
      <c r="E192" s="7"/>
      <c r="F192" s="7"/>
      <c r="G192" s="8"/>
      <c r="H192" s="7"/>
      <c r="K192" s="6"/>
    </row>
    <row r="193" spans="1:11" x14ac:dyDescent="0.2">
      <c r="A193" s="6"/>
      <c r="B193" s="7"/>
      <c r="C193" s="7"/>
      <c r="D193" s="7"/>
      <c r="E193" s="7"/>
      <c r="F193" s="7"/>
      <c r="G193" s="8"/>
      <c r="H193" s="7"/>
      <c r="K193" s="6"/>
    </row>
    <row r="194" spans="1:11" x14ac:dyDescent="0.2">
      <c r="A194" s="6"/>
      <c r="B194" s="7"/>
      <c r="C194" s="7"/>
      <c r="D194" s="7"/>
      <c r="E194" s="7"/>
      <c r="F194" s="7"/>
      <c r="G194" s="8"/>
      <c r="H194" s="7"/>
      <c r="K194" s="6"/>
    </row>
    <row r="195" spans="1:11" x14ac:dyDescent="0.2">
      <c r="A195" s="6"/>
      <c r="B195" s="7"/>
      <c r="C195" s="7"/>
      <c r="D195" s="7"/>
      <c r="E195" s="7"/>
      <c r="F195" s="7"/>
      <c r="G195" s="8"/>
      <c r="H195" s="7"/>
      <c r="K195" s="6"/>
    </row>
    <row r="196" spans="1:11" x14ac:dyDescent="0.2">
      <c r="A196" s="6"/>
      <c r="B196" s="7"/>
      <c r="C196" s="7"/>
      <c r="D196" s="7"/>
      <c r="E196" s="7"/>
      <c r="F196" s="7"/>
      <c r="G196" s="8"/>
      <c r="H196" s="7"/>
      <c r="K196" s="6"/>
    </row>
    <row r="197" spans="1:11" x14ac:dyDescent="0.2">
      <c r="A197" s="6"/>
      <c r="B197" s="7"/>
      <c r="C197" s="7"/>
      <c r="D197" s="7"/>
      <c r="E197" s="7"/>
      <c r="F197" s="7"/>
      <c r="G197" s="8"/>
      <c r="H197" s="7"/>
      <c r="K197" s="6"/>
    </row>
    <row r="198" spans="1:11" x14ac:dyDescent="0.2">
      <c r="A198" s="6"/>
      <c r="B198" s="7"/>
      <c r="C198" s="7"/>
      <c r="D198" s="7"/>
      <c r="E198" s="7"/>
      <c r="F198" s="7"/>
      <c r="G198" s="8"/>
      <c r="H198" s="7"/>
      <c r="K198" s="6"/>
    </row>
    <row r="199" spans="1:11" x14ac:dyDescent="0.2">
      <c r="A199" s="6"/>
      <c r="B199" s="7"/>
      <c r="C199" s="7"/>
      <c r="D199" s="7"/>
      <c r="E199" s="7"/>
      <c r="F199" s="7"/>
      <c r="G199" s="8"/>
      <c r="H199" s="7"/>
      <c r="K199" s="6"/>
    </row>
    <row r="200" spans="1:11" x14ac:dyDescent="0.2">
      <c r="A200" s="6"/>
      <c r="B200" s="7"/>
      <c r="C200" s="7"/>
      <c r="D200" s="7"/>
      <c r="E200" s="7"/>
      <c r="F200" s="7"/>
      <c r="G200" s="8"/>
      <c r="H200" s="7"/>
      <c r="K200" s="6"/>
    </row>
    <row r="201" spans="1:11" x14ac:dyDescent="0.2">
      <c r="A201" s="6"/>
      <c r="B201" s="7"/>
      <c r="C201" s="7"/>
      <c r="D201" s="7"/>
      <c r="E201" s="7"/>
      <c r="F201" s="7"/>
      <c r="G201" s="8"/>
      <c r="H201" s="7"/>
      <c r="K201" s="6"/>
    </row>
    <row r="202" spans="1:11" x14ac:dyDescent="0.2">
      <c r="A202" s="6"/>
      <c r="B202" s="7"/>
      <c r="C202" s="7"/>
      <c r="D202" s="7"/>
      <c r="E202" s="7"/>
      <c r="F202" s="7"/>
      <c r="G202" s="8"/>
      <c r="H202" s="7"/>
      <c r="K202" s="6"/>
    </row>
    <row r="203" spans="1:11" x14ac:dyDescent="0.2">
      <c r="A203" s="6"/>
      <c r="B203" s="7"/>
      <c r="C203" s="7"/>
      <c r="D203" s="7"/>
      <c r="E203" s="7"/>
      <c r="F203" s="7"/>
      <c r="G203" s="8"/>
      <c r="H203" s="7"/>
      <c r="K203" s="6"/>
    </row>
    <row r="204" spans="1:11" x14ac:dyDescent="0.2">
      <c r="A204" s="6"/>
      <c r="B204" s="7"/>
      <c r="C204" s="7"/>
      <c r="D204" s="7"/>
      <c r="E204" s="7"/>
      <c r="F204" s="7"/>
      <c r="G204" s="8"/>
      <c r="H204" s="7"/>
      <c r="K204" s="6"/>
    </row>
    <row r="205" spans="1:11" x14ac:dyDescent="0.2">
      <c r="A205" s="6"/>
      <c r="B205" s="7"/>
      <c r="C205" s="7"/>
      <c r="D205" s="7"/>
      <c r="E205" s="7"/>
      <c r="F205" s="7"/>
      <c r="G205" s="8"/>
      <c r="H205" s="7"/>
      <c r="K205" s="6"/>
    </row>
    <row r="206" spans="1:11" x14ac:dyDescent="0.2">
      <c r="A206" s="6"/>
      <c r="B206" s="7"/>
      <c r="C206" s="7"/>
      <c r="D206" s="7"/>
      <c r="E206" s="7"/>
      <c r="F206" s="7"/>
      <c r="G206" s="8"/>
      <c r="H206" s="7"/>
      <c r="K206" s="6"/>
    </row>
    <row r="207" spans="1:11" x14ac:dyDescent="0.2">
      <c r="A207" s="6"/>
      <c r="B207" s="7"/>
      <c r="C207" s="7"/>
      <c r="D207" s="7"/>
      <c r="E207" s="7"/>
      <c r="F207" s="7"/>
      <c r="G207" s="8"/>
      <c r="H207" s="7"/>
      <c r="K207" s="6"/>
    </row>
    <row r="208" spans="1:11" x14ac:dyDescent="0.2">
      <c r="A208" s="6"/>
      <c r="B208" s="7"/>
      <c r="C208" s="7"/>
      <c r="D208" s="7"/>
      <c r="E208" s="7"/>
      <c r="F208" s="7"/>
      <c r="G208" s="8"/>
      <c r="H208" s="7"/>
      <c r="K208" s="6"/>
    </row>
    <row r="209" spans="1:11" x14ac:dyDescent="0.2">
      <c r="A209" s="6"/>
      <c r="B209" s="7"/>
      <c r="C209" s="7"/>
      <c r="D209" s="7"/>
      <c r="E209" s="7"/>
      <c r="F209" s="7"/>
      <c r="G209" s="8"/>
      <c r="H209" s="7"/>
      <c r="K209" s="6"/>
    </row>
    <row r="210" spans="1:11" x14ac:dyDescent="0.2">
      <c r="A210" s="6"/>
      <c r="B210" s="7"/>
      <c r="C210" s="7"/>
      <c r="D210" s="7"/>
      <c r="E210" s="7"/>
      <c r="F210" s="7"/>
      <c r="G210" s="8"/>
      <c r="H210" s="7"/>
      <c r="K210" s="6"/>
    </row>
    <row r="211" spans="1:11" x14ac:dyDescent="0.2">
      <c r="A211" s="6"/>
      <c r="B211" s="7"/>
      <c r="C211" s="7"/>
      <c r="D211" s="7"/>
      <c r="E211" s="7"/>
      <c r="F211" s="7"/>
      <c r="G211" s="8"/>
      <c r="H211" s="7"/>
      <c r="K211" s="6"/>
    </row>
    <row r="212" spans="1:11" x14ac:dyDescent="0.2">
      <c r="A212" s="6"/>
      <c r="B212" s="7"/>
      <c r="C212" s="7"/>
      <c r="D212" s="7"/>
      <c r="E212" s="7"/>
      <c r="F212" s="7"/>
      <c r="G212" s="8"/>
      <c r="H212" s="7"/>
      <c r="K212" s="6"/>
    </row>
    <row r="213" spans="1:11" x14ac:dyDescent="0.2">
      <c r="A213" s="6"/>
      <c r="B213" s="7"/>
      <c r="C213" s="7"/>
      <c r="D213" s="7"/>
      <c r="E213" s="7"/>
      <c r="F213" s="7"/>
      <c r="G213" s="8"/>
      <c r="H213" s="7"/>
      <c r="K213" s="6"/>
    </row>
    <row r="214" spans="1:11" x14ac:dyDescent="0.2">
      <c r="A214" s="6"/>
      <c r="B214" s="7"/>
      <c r="C214" s="7"/>
      <c r="D214" s="7"/>
      <c r="E214" s="7"/>
      <c r="F214" s="7"/>
      <c r="G214" s="8"/>
      <c r="H214" s="7"/>
      <c r="K214" s="6"/>
    </row>
    <row r="215" spans="1:11" x14ac:dyDescent="0.2">
      <c r="A215" s="6"/>
      <c r="B215" s="7"/>
      <c r="C215" s="7"/>
      <c r="D215" s="7"/>
      <c r="E215" s="7"/>
      <c r="F215" s="7"/>
      <c r="G215" s="8"/>
      <c r="H215" s="7"/>
      <c r="K215" s="6"/>
    </row>
    <row r="216" spans="1:11" x14ac:dyDescent="0.2">
      <c r="A216" s="6"/>
      <c r="B216" s="7"/>
      <c r="C216" s="7"/>
      <c r="D216" s="7"/>
      <c r="E216" s="7"/>
      <c r="F216" s="7"/>
      <c r="G216" s="8"/>
      <c r="H216" s="7"/>
      <c r="K216" s="6"/>
    </row>
    <row r="217" spans="1:11" x14ac:dyDescent="0.2">
      <c r="A217" s="6"/>
      <c r="B217" s="7"/>
      <c r="C217" s="7"/>
      <c r="D217" s="7"/>
      <c r="E217" s="7"/>
      <c r="F217" s="7"/>
      <c r="G217" s="8"/>
      <c r="H217" s="7"/>
      <c r="K217" s="6"/>
    </row>
    <row r="218" spans="1:11" x14ac:dyDescent="0.2">
      <c r="A218" s="6"/>
      <c r="B218" s="7"/>
      <c r="C218" s="7"/>
      <c r="D218" s="7"/>
      <c r="E218" s="7"/>
      <c r="F218" s="7"/>
      <c r="G218" s="8"/>
      <c r="H218" s="7"/>
      <c r="K218" s="6"/>
    </row>
    <row r="219" spans="1:11" x14ac:dyDescent="0.2">
      <c r="A219" s="6"/>
      <c r="B219" s="7"/>
      <c r="C219" s="7"/>
      <c r="D219" s="7"/>
      <c r="E219" s="7"/>
      <c r="F219" s="7"/>
      <c r="G219" s="8"/>
      <c r="H219" s="7"/>
      <c r="K219" s="6"/>
    </row>
    <row r="220" spans="1:11" x14ac:dyDescent="0.2">
      <c r="A220" s="6"/>
      <c r="B220" s="7"/>
      <c r="C220" s="7"/>
      <c r="D220" s="7"/>
      <c r="E220" s="7"/>
      <c r="F220" s="7"/>
      <c r="G220" s="8"/>
      <c r="H220" s="7"/>
      <c r="K220" s="6"/>
    </row>
    <row r="221" spans="1:11" x14ac:dyDescent="0.2">
      <c r="A221" s="6"/>
      <c r="B221" s="7"/>
      <c r="C221" s="7"/>
      <c r="D221" s="7"/>
      <c r="E221" s="7"/>
      <c r="F221" s="7"/>
      <c r="G221" s="8"/>
      <c r="H221" s="7"/>
      <c r="K221" s="6"/>
    </row>
    <row r="222" spans="1:11" x14ac:dyDescent="0.2">
      <c r="A222" s="6"/>
      <c r="B222" s="7"/>
      <c r="C222" s="7"/>
      <c r="D222" s="7"/>
      <c r="E222" s="7"/>
      <c r="F222" s="7"/>
      <c r="G222" s="8"/>
      <c r="H222" s="7"/>
      <c r="K222" s="6"/>
    </row>
    <row r="223" spans="1:11" x14ac:dyDescent="0.2">
      <c r="A223" s="6"/>
      <c r="B223" s="7"/>
      <c r="C223" s="7"/>
      <c r="D223" s="7"/>
      <c r="E223" s="7"/>
      <c r="F223" s="7"/>
      <c r="G223" s="8"/>
      <c r="H223" s="7"/>
      <c r="K223" s="6"/>
    </row>
    <row r="224" spans="1:11" x14ac:dyDescent="0.2">
      <c r="A224" s="6"/>
      <c r="B224" s="7"/>
      <c r="C224" s="7"/>
      <c r="D224" s="7"/>
      <c r="E224" s="7"/>
      <c r="F224" s="7"/>
      <c r="G224" s="8"/>
      <c r="H224" s="7"/>
      <c r="K224" s="6"/>
    </row>
    <row r="225" spans="1:11" x14ac:dyDescent="0.2">
      <c r="A225" s="6"/>
      <c r="B225" s="7"/>
      <c r="C225" s="7"/>
      <c r="D225" s="7"/>
      <c r="E225" s="7"/>
      <c r="F225" s="7"/>
      <c r="G225" s="8"/>
      <c r="H225" s="7"/>
      <c r="K225" s="6"/>
    </row>
    <row r="226" spans="1:11" x14ac:dyDescent="0.2">
      <c r="A226" s="6"/>
      <c r="B226" s="7"/>
      <c r="C226" s="7"/>
      <c r="D226" s="7"/>
      <c r="E226" s="7"/>
      <c r="F226" s="7"/>
      <c r="G226" s="8"/>
      <c r="H226" s="7"/>
      <c r="K226" s="6"/>
    </row>
    <row r="227" spans="1:11" x14ac:dyDescent="0.2">
      <c r="A227" s="6"/>
      <c r="B227" s="7"/>
      <c r="C227" s="7"/>
      <c r="D227" s="7"/>
      <c r="E227" s="7"/>
      <c r="F227" s="7"/>
      <c r="G227" s="8"/>
      <c r="H227" s="7"/>
      <c r="K227" s="6"/>
    </row>
    <row r="228" spans="1:11" x14ac:dyDescent="0.2">
      <c r="A228" s="6"/>
      <c r="B228" s="7"/>
      <c r="C228" s="7"/>
      <c r="D228" s="7"/>
      <c r="E228" s="7"/>
      <c r="F228" s="7"/>
      <c r="G228" s="8"/>
      <c r="H228" s="7"/>
      <c r="K228" s="6"/>
    </row>
    <row r="229" spans="1:11" x14ac:dyDescent="0.2">
      <c r="A229" s="6"/>
      <c r="B229" s="7"/>
      <c r="C229" s="7"/>
      <c r="D229" s="7"/>
      <c r="E229" s="7"/>
      <c r="F229" s="7"/>
      <c r="G229" s="8"/>
      <c r="H229" s="7"/>
      <c r="K229" s="6"/>
    </row>
    <row r="230" spans="1:11" x14ac:dyDescent="0.2">
      <c r="A230" s="6"/>
      <c r="B230" s="7"/>
      <c r="C230" s="7"/>
      <c r="D230" s="7"/>
      <c r="E230" s="7"/>
      <c r="F230" s="7"/>
      <c r="G230" s="8"/>
      <c r="H230" s="7"/>
      <c r="K230" s="6"/>
    </row>
    <row r="231" spans="1:11" x14ac:dyDescent="0.2">
      <c r="A231" s="6"/>
      <c r="B231" s="7"/>
      <c r="C231" s="7"/>
      <c r="D231" s="7"/>
      <c r="E231" s="7"/>
      <c r="F231" s="7"/>
      <c r="G231" s="8"/>
      <c r="H231" s="7"/>
      <c r="K231" s="6"/>
    </row>
    <row r="232" spans="1:11" x14ac:dyDescent="0.2">
      <c r="A232" s="6"/>
      <c r="B232" s="7"/>
      <c r="C232" s="7"/>
      <c r="D232" s="7"/>
      <c r="E232" s="7"/>
      <c r="F232" s="7"/>
      <c r="G232" s="8"/>
      <c r="H232" s="7"/>
      <c r="K232" s="6"/>
    </row>
    <row r="233" spans="1:11" x14ac:dyDescent="0.2">
      <c r="A233" s="6"/>
      <c r="B233" s="7"/>
      <c r="C233" s="7"/>
      <c r="D233" s="7"/>
      <c r="E233" s="7"/>
      <c r="F233" s="7"/>
      <c r="G233" s="8"/>
      <c r="H233" s="7"/>
      <c r="K233" s="6"/>
    </row>
    <row r="234" spans="1:11" x14ac:dyDescent="0.2">
      <c r="A234" s="6"/>
      <c r="B234" s="7"/>
      <c r="C234" s="7"/>
      <c r="D234" s="7"/>
      <c r="E234" s="7"/>
      <c r="F234" s="7"/>
      <c r="G234" s="8"/>
      <c r="H234" s="7"/>
      <c r="K234" s="6"/>
    </row>
    <row r="235" spans="1:11" x14ac:dyDescent="0.2">
      <c r="A235" s="6"/>
      <c r="B235" s="7"/>
      <c r="C235" s="7"/>
      <c r="D235" s="7"/>
      <c r="E235" s="7"/>
      <c r="F235" s="7"/>
      <c r="G235" s="8"/>
      <c r="H235" s="7"/>
      <c r="K235" s="6"/>
    </row>
    <row r="236" spans="1:11" x14ac:dyDescent="0.2">
      <c r="A236" s="6"/>
      <c r="B236" s="7"/>
      <c r="C236" s="7"/>
      <c r="D236" s="7"/>
      <c r="E236" s="7"/>
      <c r="F236" s="7"/>
      <c r="G236" s="8"/>
      <c r="H236" s="7"/>
      <c r="K236" s="6"/>
    </row>
    <row r="237" spans="1:11" x14ac:dyDescent="0.2">
      <c r="A237" s="6"/>
      <c r="B237" s="7"/>
      <c r="C237" s="7"/>
      <c r="D237" s="7"/>
      <c r="E237" s="7"/>
      <c r="F237" s="7"/>
      <c r="G237" s="8"/>
      <c r="H237" s="7"/>
      <c r="K237" s="6"/>
    </row>
    <row r="238" spans="1:11" x14ac:dyDescent="0.2">
      <c r="A238" s="6"/>
      <c r="B238" s="7"/>
      <c r="C238" s="7"/>
      <c r="D238" s="7"/>
      <c r="E238" s="7"/>
      <c r="F238" s="7"/>
      <c r="G238" s="8"/>
      <c r="H238" s="7"/>
      <c r="K238" s="6"/>
    </row>
    <row r="239" spans="1:11" x14ac:dyDescent="0.2">
      <c r="A239" s="6"/>
      <c r="B239" s="7"/>
      <c r="C239" s="7"/>
      <c r="D239" s="7"/>
      <c r="E239" s="7"/>
      <c r="F239" s="7"/>
      <c r="G239" s="8"/>
      <c r="H239" s="7"/>
      <c r="K239" s="6"/>
    </row>
    <row r="240" spans="1:11" x14ac:dyDescent="0.2">
      <c r="A240" s="6"/>
      <c r="B240" s="7"/>
      <c r="C240" s="7"/>
      <c r="D240" s="7"/>
      <c r="E240" s="7"/>
      <c r="F240" s="7"/>
      <c r="G240" s="8"/>
      <c r="H240" s="7"/>
      <c r="K240" s="6"/>
    </row>
    <row r="241" spans="1:11" x14ac:dyDescent="0.2">
      <c r="A241" s="6"/>
      <c r="B241" s="7"/>
      <c r="H241" s="7"/>
      <c r="K241" s="6"/>
    </row>
    <row r="242" spans="1:11" x14ac:dyDescent="0.2">
      <c r="A242" s="6"/>
      <c r="B242" s="7"/>
      <c r="C242" s="7"/>
      <c r="D242" s="7"/>
      <c r="E242" s="7"/>
      <c r="F242" s="7"/>
      <c r="G242" s="8"/>
      <c r="H242" s="7"/>
      <c r="K242" s="6"/>
    </row>
    <row r="243" spans="1:11" x14ac:dyDescent="0.2">
      <c r="A243" s="6"/>
      <c r="B243" s="7"/>
      <c r="C243" s="7"/>
      <c r="D243" s="7"/>
      <c r="E243" s="7"/>
      <c r="F243" s="7"/>
      <c r="G243" s="8"/>
      <c r="H243" s="7"/>
      <c r="K243" s="6"/>
    </row>
    <row r="244" spans="1:11" x14ac:dyDescent="0.2">
      <c r="A244" s="6"/>
      <c r="B244" s="7"/>
      <c r="C244" s="7"/>
      <c r="D244" s="7"/>
      <c r="E244" s="7"/>
      <c r="F244" s="7"/>
      <c r="G244" s="8"/>
      <c r="H244" s="7"/>
      <c r="K244" s="6"/>
    </row>
    <row r="245" spans="1:11" x14ac:dyDescent="0.2">
      <c r="A245" s="6"/>
      <c r="B245" s="7"/>
      <c r="C245" s="7"/>
      <c r="D245" s="7"/>
      <c r="E245" s="7"/>
      <c r="F245" s="7"/>
      <c r="G245" s="8"/>
      <c r="H245" s="7"/>
      <c r="K245" s="6"/>
    </row>
    <row r="246" spans="1:11" x14ac:dyDescent="0.2">
      <c r="A246" s="6"/>
      <c r="B246" s="7"/>
      <c r="C246" s="7"/>
      <c r="D246" s="7"/>
      <c r="E246" s="7"/>
      <c r="F246" s="7"/>
      <c r="G246" s="8"/>
      <c r="H246" s="7"/>
      <c r="K246" s="6"/>
    </row>
    <row r="247" spans="1:11" x14ac:dyDescent="0.2">
      <c r="A247" s="6"/>
      <c r="B247" s="7"/>
      <c r="C247" s="7"/>
      <c r="D247" s="7"/>
      <c r="E247" s="7"/>
      <c r="F247" s="7"/>
      <c r="G247" s="8"/>
      <c r="H247" s="7"/>
      <c r="K247" s="6"/>
    </row>
    <row r="248" spans="1:11" x14ac:dyDescent="0.2">
      <c r="A248" s="6"/>
      <c r="B248" s="7"/>
      <c r="C248" s="7"/>
      <c r="D248" s="7"/>
      <c r="E248" s="7"/>
      <c r="F248" s="7"/>
      <c r="G248" s="8"/>
      <c r="H248" s="7"/>
      <c r="K248" s="6"/>
    </row>
    <row r="249" spans="1:11" x14ac:dyDescent="0.2">
      <c r="A249" s="6"/>
      <c r="B249" s="7"/>
      <c r="C249" s="7"/>
      <c r="D249" s="7"/>
      <c r="E249" s="7"/>
      <c r="F249" s="7"/>
      <c r="G249" s="8"/>
      <c r="H249" s="7"/>
      <c r="K249" s="6"/>
    </row>
    <row r="250" spans="1:11" x14ac:dyDescent="0.2">
      <c r="A250" s="6"/>
      <c r="B250" s="7"/>
      <c r="C250" s="7"/>
      <c r="D250" s="7"/>
      <c r="E250" s="7"/>
      <c r="F250" s="7"/>
      <c r="G250" s="8"/>
      <c r="H250" s="7"/>
      <c r="K250" s="6"/>
    </row>
    <row r="251" spans="1:11" x14ac:dyDescent="0.2">
      <c r="A251" s="6"/>
      <c r="B251" s="7"/>
      <c r="C251" s="7"/>
      <c r="D251" s="7"/>
      <c r="E251" s="7"/>
      <c r="F251" s="7"/>
      <c r="G251" s="8"/>
      <c r="H251" s="7"/>
      <c r="K251" s="6"/>
    </row>
    <row r="252" spans="1:11" x14ac:dyDescent="0.2">
      <c r="A252" s="6"/>
      <c r="B252" s="7"/>
      <c r="C252" s="7"/>
      <c r="D252" s="7"/>
      <c r="E252" s="7"/>
      <c r="F252" s="7"/>
      <c r="G252" s="8"/>
      <c r="H252" s="7"/>
      <c r="K252" s="6"/>
    </row>
    <row r="253" spans="1:11" x14ac:dyDescent="0.2">
      <c r="A253" s="6"/>
      <c r="B253" s="7"/>
      <c r="C253" s="7"/>
      <c r="D253" s="7"/>
      <c r="E253" s="7"/>
      <c r="F253" s="7"/>
      <c r="G253" s="8"/>
      <c r="H253" s="7"/>
      <c r="K253" s="6"/>
    </row>
    <row r="254" spans="1:11" x14ac:dyDescent="0.2">
      <c r="A254" s="6"/>
      <c r="B254" s="7"/>
      <c r="C254" s="7"/>
      <c r="D254" s="7"/>
      <c r="E254" s="7"/>
      <c r="F254" s="7"/>
      <c r="G254" s="8"/>
      <c r="H254" s="7"/>
      <c r="K254" s="6"/>
    </row>
    <row r="255" spans="1:11" x14ac:dyDescent="0.2">
      <c r="A255" s="6"/>
      <c r="B255" s="7"/>
      <c r="C255" s="7"/>
      <c r="D255" s="7"/>
      <c r="E255" s="7"/>
      <c r="F255" s="7"/>
      <c r="G255" s="8"/>
      <c r="K255" s="6"/>
    </row>
    <row r="256" spans="1:11" x14ac:dyDescent="0.2">
      <c r="A256" s="6"/>
      <c r="B256" s="7"/>
      <c r="C256" s="7"/>
      <c r="D256" s="7"/>
      <c r="E256" s="7"/>
      <c r="F256" s="7"/>
      <c r="G256" s="8"/>
      <c r="H256" s="7"/>
      <c r="K256" s="6"/>
    </row>
    <row r="257" spans="1:11" x14ac:dyDescent="0.2">
      <c r="A257" s="6"/>
      <c r="B257" s="7"/>
      <c r="C257" s="7"/>
      <c r="D257" s="7"/>
      <c r="E257" s="7"/>
      <c r="F257" s="7"/>
      <c r="G257" s="8"/>
      <c r="H257" s="7"/>
      <c r="K257" s="6"/>
    </row>
    <row r="258" spans="1:11" x14ac:dyDescent="0.2">
      <c r="A258" s="6"/>
      <c r="B258" s="7"/>
      <c r="C258" s="7"/>
      <c r="D258" s="7"/>
      <c r="E258" s="7"/>
      <c r="F258" s="7"/>
      <c r="G258" s="8"/>
      <c r="H258" s="7"/>
      <c r="K258" s="6"/>
    </row>
    <row r="259" spans="1:11" x14ac:dyDescent="0.2">
      <c r="A259" s="6"/>
      <c r="B259" s="7"/>
      <c r="C259" s="7"/>
      <c r="D259" s="7"/>
      <c r="E259" s="7"/>
      <c r="F259" s="7"/>
      <c r="G259" s="8"/>
      <c r="H259" s="7"/>
      <c r="K259" s="6"/>
    </row>
    <row r="260" spans="1:11" x14ac:dyDescent="0.2">
      <c r="A260" s="6"/>
      <c r="B260" s="7"/>
      <c r="C260" s="7"/>
      <c r="D260" s="7"/>
      <c r="E260" s="7"/>
      <c r="F260" s="7"/>
      <c r="G260" s="8"/>
      <c r="H260" s="7"/>
      <c r="K260" s="6"/>
    </row>
    <row r="261" spans="1:11" x14ac:dyDescent="0.2">
      <c r="A261" s="6"/>
      <c r="B261" s="7"/>
      <c r="C261" s="7"/>
      <c r="D261" s="7"/>
      <c r="E261" s="7"/>
      <c r="F261" s="7"/>
      <c r="G261" s="8"/>
      <c r="H261" s="7"/>
      <c r="K261" s="6"/>
    </row>
    <row r="262" spans="1:11" x14ac:dyDescent="0.2">
      <c r="A262" s="6"/>
      <c r="B262" s="7"/>
      <c r="C262" s="7"/>
      <c r="D262" s="7"/>
      <c r="E262" s="7"/>
      <c r="F262" s="7"/>
      <c r="G262" s="8"/>
      <c r="H262" s="7"/>
      <c r="K262" s="6"/>
    </row>
    <row r="263" spans="1:11" x14ac:dyDescent="0.2">
      <c r="A263" s="6"/>
      <c r="B263" s="7"/>
      <c r="C263" s="7"/>
      <c r="D263" s="7"/>
      <c r="E263" s="7"/>
      <c r="F263" s="7"/>
      <c r="G263" s="8"/>
      <c r="H263" s="7"/>
      <c r="K263" s="6"/>
    </row>
    <row r="264" spans="1:11" x14ac:dyDescent="0.2">
      <c r="A264" s="6"/>
      <c r="B264" s="7"/>
      <c r="C264" s="7"/>
      <c r="D264" s="7"/>
      <c r="E264" s="7"/>
      <c r="F264" s="7"/>
      <c r="G264" s="8"/>
      <c r="H264" s="7"/>
      <c r="K264" s="6"/>
    </row>
    <row r="265" spans="1:11" x14ac:dyDescent="0.2">
      <c r="A265" s="6"/>
      <c r="B265" s="7"/>
      <c r="C265" s="7"/>
      <c r="D265" s="7"/>
      <c r="E265" s="7"/>
      <c r="F265" s="7"/>
      <c r="G265" s="8"/>
      <c r="H265" s="7"/>
      <c r="K265" s="6"/>
    </row>
    <row r="266" spans="1:11" x14ac:dyDescent="0.2">
      <c r="A266" s="6"/>
      <c r="B266" s="7"/>
      <c r="C266" s="7"/>
      <c r="D266" s="7"/>
      <c r="E266" s="7"/>
      <c r="F266" s="7"/>
      <c r="G266" s="8"/>
      <c r="H266" s="7"/>
      <c r="K266" s="6"/>
    </row>
    <row r="267" spans="1:11" x14ac:dyDescent="0.2">
      <c r="A267" s="6"/>
      <c r="B267" s="7"/>
      <c r="C267" s="7"/>
      <c r="D267" s="7"/>
      <c r="E267" s="7"/>
      <c r="F267" s="7"/>
      <c r="G267" s="8"/>
      <c r="H267" s="7"/>
      <c r="K267" s="6"/>
    </row>
    <row r="268" spans="1:11" x14ac:dyDescent="0.2">
      <c r="A268" s="6"/>
      <c r="B268" s="7"/>
      <c r="C268" s="7"/>
      <c r="D268" s="7"/>
      <c r="E268" s="7"/>
      <c r="F268" s="7"/>
      <c r="G268" s="8"/>
      <c r="H268" s="7"/>
      <c r="K268" s="6"/>
    </row>
    <row r="269" spans="1:11" x14ac:dyDescent="0.2">
      <c r="A269" s="6"/>
      <c r="B269" s="7"/>
      <c r="C269" s="7"/>
      <c r="D269" s="7"/>
      <c r="E269" s="7"/>
      <c r="F269" s="7"/>
      <c r="G269" s="8"/>
      <c r="H269" s="7"/>
      <c r="K269" s="6"/>
    </row>
    <row r="270" spans="1:11" x14ac:dyDescent="0.2">
      <c r="A270" s="6"/>
      <c r="B270" s="7"/>
      <c r="C270" s="7"/>
      <c r="D270" s="7"/>
      <c r="E270" s="7"/>
      <c r="F270" s="7"/>
      <c r="G270" s="8"/>
      <c r="H270" s="7"/>
      <c r="K270" s="6"/>
    </row>
    <row r="271" spans="1:11" x14ac:dyDescent="0.2">
      <c r="A271" s="6"/>
      <c r="B271" s="7"/>
      <c r="C271" s="7"/>
      <c r="D271" s="7"/>
      <c r="E271" s="7"/>
      <c r="F271" s="7"/>
      <c r="G271" s="8"/>
      <c r="H271" s="7"/>
      <c r="K271" s="6"/>
    </row>
    <row r="272" spans="1:11" x14ac:dyDescent="0.2">
      <c r="A272" s="6"/>
      <c r="B272" s="7"/>
      <c r="C272" s="7"/>
      <c r="D272" s="7"/>
      <c r="E272" s="7"/>
      <c r="F272" s="7"/>
      <c r="G272" s="8"/>
      <c r="H272" s="7"/>
      <c r="K272" s="6"/>
    </row>
    <row r="273" spans="1:11" x14ac:dyDescent="0.2">
      <c r="A273" s="6"/>
      <c r="B273" s="7"/>
      <c r="C273" s="7"/>
      <c r="D273" s="7"/>
      <c r="E273" s="7"/>
      <c r="F273" s="7"/>
      <c r="G273" s="8"/>
      <c r="H273" s="7"/>
      <c r="K273" s="6"/>
    </row>
    <row r="274" spans="1:11" x14ac:dyDescent="0.2">
      <c r="A274" s="6"/>
      <c r="B274" s="7"/>
      <c r="C274" s="7"/>
      <c r="D274" s="7"/>
      <c r="E274" s="7"/>
      <c r="F274" s="7"/>
      <c r="G274" s="8"/>
      <c r="H274" s="7"/>
      <c r="K274" s="6"/>
    </row>
    <row r="275" spans="1:11" x14ac:dyDescent="0.2">
      <c r="A275" s="6"/>
      <c r="B275" s="7"/>
      <c r="C275" s="7"/>
      <c r="D275" s="7"/>
      <c r="E275" s="7"/>
      <c r="F275" s="7"/>
      <c r="G275" s="8"/>
      <c r="H275" s="7"/>
      <c r="K275" s="6"/>
    </row>
    <row r="276" spans="1:11" x14ac:dyDescent="0.2">
      <c r="A276" s="6"/>
      <c r="B276" s="7"/>
      <c r="C276" s="7"/>
      <c r="D276" s="7"/>
      <c r="E276" s="7"/>
      <c r="F276" s="7"/>
      <c r="G276" s="8"/>
      <c r="H276" s="7"/>
      <c r="K276" s="6"/>
    </row>
    <row r="277" spans="1:11" x14ac:dyDescent="0.2">
      <c r="A277" s="6"/>
      <c r="B277" s="7"/>
      <c r="C277" s="7"/>
      <c r="D277" s="7"/>
      <c r="E277" s="7"/>
      <c r="F277" s="7"/>
      <c r="G277" s="8"/>
      <c r="H277" s="7"/>
      <c r="K277" s="6"/>
    </row>
    <row r="278" spans="1:11" x14ac:dyDescent="0.2">
      <c r="A278" s="6"/>
      <c r="B278" s="7"/>
      <c r="C278" s="7"/>
      <c r="D278" s="7"/>
      <c r="E278" s="7"/>
      <c r="F278" s="7"/>
      <c r="G278" s="8"/>
      <c r="H278" s="7"/>
      <c r="K278" s="6"/>
    </row>
    <row r="279" spans="1:11" x14ac:dyDescent="0.2">
      <c r="A279" s="6"/>
      <c r="B279" s="7"/>
      <c r="C279" s="7"/>
      <c r="D279" s="7"/>
      <c r="E279" s="7"/>
      <c r="F279" s="7"/>
      <c r="G279" s="8"/>
      <c r="H279" s="7"/>
      <c r="K279" s="6"/>
    </row>
    <row r="280" spans="1:11" x14ac:dyDescent="0.2">
      <c r="A280" s="6"/>
      <c r="B280" s="7"/>
      <c r="C280" s="7"/>
      <c r="D280" s="7"/>
      <c r="E280" s="7"/>
      <c r="F280" s="7"/>
      <c r="G280" s="8"/>
      <c r="H280" s="7"/>
      <c r="K280" s="6"/>
    </row>
    <row r="281" spans="1:11" x14ac:dyDescent="0.2">
      <c r="A281" s="6"/>
      <c r="B281" s="7"/>
      <c r="C281" s="7"/>
      <c r="D281" s="7"/>
      <c r="E281" s="7"/>
      <c r="F281" s="7"/>
      <c r="G281" s="8"/>
      <c r="H281" s="7"/>
      <c r="K281" s="6"/>
    </row>
    <row r="282" spans="1:11" x14ac:dyDescent="0.2">
      <c r="A282" s="6"/>
      <c r="B282" s="7"/>
      <c r="C282" s="7"/>
      <c r="D282" s="7"/>
      <c r="E282" s="7"/>
      <c r="F282" s="7"/>
      <c r="G282" s="8"/>
      <c r="H282" s="7"/>
      <c r="K282" s="6"/>
    </row>
    <row r="283" spans="1:11" x14ac:dyDescent="0.2">
      <c r="A283" s="6"/>
      <c r="B283" s="7"/>
      <c r="C283" s="7"/>
      <c r="D283" s="7"/>
      <c r="E283" s="7"/>
      <c r="F283" s="7"/>
      <c r="G283" s="8"/>
      <c r="H283" s="7"/>
      <c r="K283" s="6"/>
    </row>
    <row r="284" spans="1:11" x14ac:dyDescent="0.2">
      <c r="A284" s="6"/>
      <c r="B284" s="7"/>
      <c r="C284" s="7"/>
      <c r="D284" s="7"/>
      <c r="E284" s="7"/>
      <c r="F284" s="7"/>
      <c r="G284" s="8"/>
      <c r="H284" s="7"/>
      <c r="K284" s="6"/>
    </row>
    <row r="285" spans="1:11" x14ac:dyDescent="0.2">
      <c r="A285" s="6"/>
      <c r="B285" s="7"/>
      <c r="C285" s="7"/>
      <c r="D285" s="7"/>
      <c r="E285" s="7"/>
      <c r="F285" s="7"/>
      <c r="G285" s="8"/>
      <c r="H285" s="7"/>
      <c r="K285" s="6"/>
    </row>
    <row r="286" spans="1:11" x14ac:dyDescent="0.2">
      <c r="A286" s="6"/>
      <c r="B286" s="7"/>
      <c r="C286" s="7"/>
      <c r="D286" s="7"/>
      <c r="E286" s="7"/>
      <c r="F286" s="7"/>
      <c r="G286" s="8"/>
      <c r="H286" s="7"/>
      <c r="K286" s="6"/>
    </row>
    <row r="287" spans="1:11" x14ac:dyDescent="0.2">
      <c r="A287" s="6"/>
      <c r="B287" s="7"/>
      <c r="C287" s="7"/>
      <c r="D287" s="7"/>
      <c r="E287" s="7"/>
      <c r="F287" s="7"/>
      <c r="G287" s="8"/>
      <c r="H287" s="7"/>
      <c r="K287" s="6"/>
    </row>
    <row r="288" spans="1:11" x14ac:dyDescent="0.2">
      <c r="A288" s="6"/>
      <c r="B288" s="7"/>
      <c r="C288" s="7"/>
      <c r="D288" s="7"/>
      <c r="E288" s="7"/>
      <c r="F288" s="7"/>
      <c r="G288" s="8"/>
      <c r="H288" s="7"/>
      <c r="K288" s="6"/>
    </row>
    <row r="289" spans="1:11" x14ac:dyDescent="0.2">
      <c r="A289" s="6"/>
      <c r="B289" s="7"/>
      <c r="C289" s="7"/>
      <c r="D289" s="7"/>
      <c r="E289" s="7"/>
      <c r="F289" s="7"/>
      <c r="G289" s="8"/>
      <c r="H289" s="7"/>
      <c r="K289" s="6"/>
    </row>
    <row r="290" spans="1:11" x14ac:dyDescent="0.2">
      <c r="A290" s="6"/>
      <c r="B290" s="7"/>
      <c r="C290" s="7"/>
      <c r="D290" s="7"/>
      <c r="E290" s="7"/>
      <c r="F290" s="7"/>
      <c r="G290" s="8"/>
      <c r="H290" s="7"/>
      <c r="K290" s="6"/>
    </row>
    <row r="291" spans="1:11" x14ac:dyDescent="0.2">
      <c r="A291" s="6"/>
      <c r="B291" s="7"/>
      <c r="C291" s="7"/>
      <c r="D291" s="7"/>
      <c r="E291" s="7"/>
      <c r="F291" s="7"/>
      <c r="G291" s="8"/>
      <c r="H291" s="7"/>
      <c r="K291" s="6"/>
    </row>
    <row r="292" spans="1:11" x14ac:dyDescent="0.2">
      <c r="A292" s="6"/>
      <c r="B292" s="7"/>
      <c r="C292" s="7"/>
      <c r="D292" s="7"/>
      <c r="E292" s="7"/>
      <c r="F292" s="7"/>
      <c r="G292" s="8"/>
      <c r="H292" s="7"/>
      <c r="K292" s="6"/>
    </row>
    <row r="293" spans="1:11" x14ac:dyDescent="0.2">
      <c r="A293" s="6"/>
      <c r="B293" s="7"/>
      <c r="C293" s="7"/>
      <c r="D293" s="7"/>
      <c r="E293" s="7"/>
      <c r="F293" s="7"/>
      <c r="G293" s="8"/>
      <c r="H293" s="7"/>
      <c r="K293" s="6"/>
    </row>
    <row r="294" spans="1:11" x14ac:dyDescent="0.2">
      <c r="A294" s="6"/>
      <c r="B294" s="7"/>
      <c r="C294" s="7"/>
      <c r="D294" s="7"/>
      <c r="E294" s="7"/>
      <c r="F294" s="7"/>
      <c r="G294" s="8"/>
      <c r="H294" s="7"/>
      <c r="K294" s="6"/>
    </row>
    <row r="295" spans="1:11" x14ac:dyDescent="0.2">
      <c r="A295" s="6"/>
      <c r="B295" s="7"/>
      <c r="C295" s="7"/>
      <c r="D295" s="7"/>
      <c r="E295" s="7"/>
      <c r="F295" s="7"/>
      <c r="G295" s="8"/>
      <c r="H295" s="7"/>
      <c r="K295" s="6"/>
    </row>
    <row r="296" spans="1:11" x14ac:dyDescent="0.2">
      <c r="A296" s="6"/>
      <c r="B296" s="7"/>
      <c r="C296" s="7"/>
      <c r="D296" s="7"/>
      <c r="E296" s="7"/>
      <c r="F296" s="7"/>
      <c r="G296" s="8"/>
      <c r="H296" s="7"/>
      <c r="K296" s="6"/>
    </row>
    <row r="297" spans="1:11" x14ac:dyDescent="0.2">
      <c r="A297" s="6"/>
      <c r="B297" s="7"/>
      <c r="C297" s="7"/>
      <c r="D297" s="7"/>
      <c r="E297" s="7"/>
      <c r="F297" s="7"/>
      <c r="G297" s="8"/>
      <c r="H297" s="7"/>
      <c r="K297" s="6"/>
    </row>
    <row r="298" spans="1:11" x14ac:dyDescent="0.2">
      <c r="A298" s="6"/>
      <c r="B298" s="7"/>
      <c r="C298" s="7"/>
      <c r="D298" s="7"/>
      <c r="E298" s="7"/>
      <c r="F298" s="7"/>
      <c r="G298" s="8"/>
      <c r="H298" s="7"/>
      <c r="K298" s="6"/>
    </row>
    <row r="299" spans="1:11" x14ac:dyDescent="0.2">
      <c r="A299" s="6"/>
      <c r="B299" s="7"/>
      <c r="C299" s="7"/>
      <c r="D299" s="7"/>
      <c r="E299" s="7"/>
      <c r="F299" s="7"/>
      <c r="G299" s="8"/>
      <c r="H299" s="7"/>
      <c r="K299" s="6"/>
    </row>
    <row r="300" spans="1:11" x14ac:dyDescent="0.2">
      <c r="A300" s="6"/>
      <c r="B300" s="7"/>
      <c r="C300" s="7"/>
      <c r="D300" s="7"/>
      <c r="E300" s="7"/>
      <c r="F300" s="7"/>
      <c r="G300" s="8"/>
      <c r="H300" s="7"/>
      <c r="K300" s="6"/>
    </row>
    <row r="301" spans="1:11" x14ac:dyDescent="0.2">
      <c r="A301" s="6"/>
      <c r="B301" s="7"/>
      <c r="C301" s="7"/>
      <c r="D301" s="7"/>
      <c r="E301" s="7"/>
      <c r="F301" s="7"/>
      <c r="G301" s="8"/>
      <c r="H301" s="7"/>
      <c r="K301" s="6"/>
    </row>
    <row r="302" spans="1:11" x14ac:dyDescent="0.2">
      <c r="A302" s="6"/>
      <c r="B302" s="7"/>
      <c r="C302" s="7"/>
      <c r="D302" s="7"/>
      <c r="E302" s="7"/>
      <c r="F302" s="7"/>
      <c r="G302" s="8"/>
      <c r="H302" s="7"/>
      <c r="K302" s="6"/>
    </row>
    <row r="303" spans="1:11" x14ac:dyDescent="0.2">
      <c r="A303" s="6"/>
      <c r="B303" s="7"/>
      <c r="C303" s="7"/>
      <c r="D303" s="7"/>
      <c r="E303" s="7"/>
      <c r="F303" s="7"/>
      <c r="G303" s="8"/>
      <c r="H303" s="7"/>
      <c r="K303" s="6"/>
    </row>
    <row r="304" spans="1:11" x14ac:dyDescent="0.2">
      <c r="A304" s="6"/>
      <c r="B304" s="7"/>
      <c r="C304" s="7"/>
      <c r="D304" s="7"/>
      <c r="E304" s="7"/>
      <c r="F304" s="7"/>
      <c r="G304" s="8"/>
      <c r="H304" s="7"/>
      <c r="K304" s="6"/>
    </row>
    <row r="305" spans="1:11" x14ac:dyDescent="0.2">
      <c r="A305" s="6"/>
      <c r="B305" s="7"/>
      <c r="C305" s="7"/>
      <c r="D305" s="7"/>
      <c r="E305" s="7"/>
      <c r="F305" s="7"/>
      <c r="G305" s="8"/>
      <c r="H305" s="7"/>
      <c r="K305" s="6"/>
    </row>
    <row r="306" spans="1:11" x14ac:dyDescent="0.2">
      <c r="A306" s="6"/>
      <c r="B306" s="7"/>
      <c r="C306" s="7"/>
      <c r="D306" s="7"/>
      <c r="E306" s="7"/>
      <c r="F306" s="7"/>
      <c r="G306" s="8"/>
      <c r="H306" s="7"/>
      <c r="K306" s="6"/>
    </row>
    <row r="307" spans="1:11" x14ac:dyDescent="0.2">
      <c r="A307" s="6"/>
      <c r="B307" s="7"/>
      <c r="C307" s="7"/>
      <c r="D307" s="7"/>
      <c r="E307" s="7"/>
      <c r="F307" s="7"/>
      <c r="G307" s="8"/>
      <c r="H307" s="7"/>
      <c r="K307" s="6"/>
    </row>
    <row r="308" spans="1:11" x14ac:dyDescent="0.2">
      <c r="A308" s="6"/>
      <c r="B308" s="7"/>
      <c r="C308" s="7"/>
      <c r="D308" s="7"/>
      <c r="E308" s="7"/>
      <c r="F308" s="7"/>
      <c r="G308" s="8"/>
      <c r="H308" s="7"/>
      <c r="K308" s="6"/>
    </row>
    <row r="309" spans="1:11" x14ac:dyDescent="0.2">
      <c r="A309" s="6"/>
      <c r="B309" s="7"/>
      <c r="C309" s="7"/>
      <c r="D309" s="7"/>
      <c r="E309" s="7"/>
      <c r="F309" s="7"/>
      <c r="G309" s="8"/>
      <c r="H309" s="7"/>
      <c r="K309" s="6"/>
    </row>
    <row r="310" spans="1:11" x14ac:dyDescent="0.2">
      <c r="A310" s="6"/>
      <c r="B310" s="7"/>
      <c r="C310" s="7"/>
      <c r="D310" s="7"/>
      <c r="E310" s="7"/>
      <c r="F310" s="7"/>
      <c r="G310" s="8"/>
      <c r="H310" s="7"/>
      <c r="K310" s="6"/>
    </row>
    <row r="311" spans="1:11" x14ac:dyDescent="0.2">
      <c r="A311" s="6"/>
      <c r="B311" s="7"/>
      <c r="C311" s="7"/>
      <c r="D311" s="7"/>
      <c r="E311" s="7"/>
      <c r="F311" s="7"/>
      <c r="G311" s="8"/>
      <c r="H311" s="7"/>
      <c r="K311" s="6"/>
    </row>
    <row r="312" spans="1:11" x14ac:dyDescent="0.2">
      <c r="A312" s="6"/>
      <c r="B312" s="7"/>
      <c r="H312" s="7"/>
      <c r="K312" s="6"/>
    </row>
    <row r="313" spans="1:11" x14ac:dyDescent="0.2">
      <c r="A313" s="6"/>
      <c r="B313" s="7"/>
      <c r="C313" s="7"/>
      <c r="D313" s="7"/>
      <c r="E313" s="7"/>
      <c r="F313" s="7"/>
      <c r="G313" s="8"/>
      <c r="H313" s="7"/>
      <c r="K313" s="6"/>
    </row>
    <row r="314" spans="1:11" x14ac:dyDescent="0.2">
      <c r="A314" s="6"/>
      <c r="B314" s="7"/>
      <c r="C314" s="7"/>
      <c r="D314" s="7"/>
      <c r="E314" s="7"/>
      <c r="F314" s="7"/>
      <c r="G314" s="8"/>
      <c r="H314" s="7"/>
      <c r="K314" s="6"/>
    </row>
    <row r="315" spans="1:11" x14ac:dyDescent="0.2">
      <c r="A315" s="6"/>
      <c r="B315" s="7"/>
      <c r="C315" s="7"/>
      <c r="D315" s="7"/>
      <c r="E315" s="7"/>
      <c r="F315" s="7"/>
      <c r="G315" s="8"/>
      <c r="K315" s="6"/>
    </row>
    <row r="316" spans="1:11" x14ac:dyDescent="0.2">
      <c r="A316" s="6"/>
      <c r="B316" s="7"/>
      <c r="C316" s="7"/>
      <c r="D316" s="7"/>
      <c r="E316" s="7"/>
      <c r="F316" s="7"/>
      <c r="G316" s="8"/>
      <c r="H316" s="7"/>
      <c r="K316" s="6"/>
    </row>
    <row r="317" spans="1:11" x14ac:dyDescent="0.2">
      <c r="A317" s="6"/>
      <c r="B317" s="7"/>
      <c r="C317" s="7"/>
      <c r="D317" s="7"/>
      <c r="E317" s="7"/>
      <c r="F317" s="7"/>
      <c r="G317" s="8"/>
      <c r="H317" s="7"/>
      <c r="K317" s="6"/>
    </row>
    <row r="318" spans="1:11" x14ac:dyDescent="0.2">
      <c r="A318" s="6"/>
      <c r="B318" s="7"/>
      <c r="C318" s="7"/>
      <c r="D318" s="7"/>
      <c r="E318" s="7"/>
      <c r="F318" s="7"/>
      <c r="G318" s="8"/>
      <c r="H318" s="7"/>
      <c r="K318" s="6"/>
    </row>
    <row r="319" spans="1:11" x14ac:dyDescent="0.2">
      <c r="A319" s="6"/>
      <c r="B319" s="7"/>
      <c r="C319" s="7"/>
      <c r="D319" s="7"/>
      <c r="E319" s="7"/>
      <c r="F319" s="7"/>
      <c r="G319" s="8"/>
      <c r="H319" s="7"/>
      <c r="K319" s="6"/>
    </row>
    <row r="320" spans="1:11" x14ac:dyDescent="0.2">
      <c r="A320" s="6"/>
      <c r="B320" s="7"/>
      <c r="C320" s="7"/>
      <c r="D320" s="7"/>
      <c r="E320" s="7"/>
      <c r="F320" s="7"/>
      <c r="G320" s="8"/>
      <c r="H320" s="7"/>
      <c r="K320" s="6"/>
    </row>
    <row r="321" spans="1:11" x14ac:dyDescent="0.2">
      <c r="A321" s="6"/>
      <c r="B321" s="7"/>
      <c r="C321" s="7"/>
      <c r="D321" s="7"/>
      <c r="E321" s="7"/>
      <c r="F321" s="7"/>
      <c r="G321" s="8"/>
      <c r="H321" s="7"/>
      <c r="K321" s="6"/>
    </row>
    <row r="322" spans="1:11" x14ac:dyDescent="0.2">
      <c r="A322" s="6"/>
      <c r="B322" s="7"/>
      <c r="C322" s="7"/>
      <c r="D322" s="7"/>
      <c r="E322" s="7"/>
      <c r="F322" s="7"/>
      <c r="G322" s="8"/>
      <c r="H322" s="7"/>
      <c r="K322" s="6"/>
    </row>
    <row r="323" spans="1:11" x14ac:dyDescent="0.2">
      <c r="A323" s="6"/>
      <c r="B323" s="7"/>
      <c r="C323" s="7"/>
      <c r="D323" s="7"/>
      <c r="E323" s="7"/>
      <c r="F323" s="7"/>
      <c r="G323" s="8"/>
      <c r="H323" s="7"/>
      <c r="K323" s="6"/>
    </row>
    <row r="324" spans="1:11" x14ac:dyDescent="0.2">
      <c r="A324" s="6"/>
      <c r="B324" s="7"/>
      <c r="C324" s="7"/>
      <c r="D324" s="7"/>
      <c r="E324" s="7"/>
      <c r="F324" s="7"/>
      <c r="G324" s="8"/>
      <c r="H324" s="7"/>
      <c r="K324" s="6"/>
    </row>
    <row r="325" spans="1:11" x14ac:dyDescent="0.2">
      <c r="A325" s="6"/>
      <c r="B325" s="7"/>
      <c r="C325" s="7"/>
      <c r="D325" s="7"/>
      <c r="E325" s="7"/>
      <c r="F325" s="7"/>
      <c r="G325" s="8"/>
      <c r="H325" s="7"/>
      <c r="K325" s="6"/>
    </row>
    <row r="326" spans="1:11" x14ac:dyDescent="0.2">
      <c r="A326" s="6"/>
      <c r="B326" s="7"/>
      <c r="C326" s="7"/>
      <c r="D326" s="7"/>
      <c r="E326" s="7"/>
      <c r="F326" s="7"/>
      <c r="G326" s="8"/>
      <c r="H326" s="7"/>
      <c r="K326" s="6"/>
    </row>
    <row r="327" spans="1:11" x14ac:dyDescent="0.2">
      <c r="A327" s="6"/>
      <c r="B327" s="7"/>
      <c r="C327" s="7"/>
      <c r="D327" s="7"/>
      <c r="E327" s="7"/>
      <c r="F327" s="7"/>
      <c r="G327" s="8"/>
      <c r="H327" s="7"/>
      <c r="K327" s="6"/>
    </row>
    <row r="328" spans="1:11" x14ac:dyDescent="0.2">
      <c r="A328" s="6"/>
      <c r="B328" s="7"/>
      <c r="C328" s="7"/>
      <c r="D328" s="7"/>
      <c r="E328" s="7"/>
      <c r="F328" s="7"/>
      <c r="G328" s="8"/>
      <c r="H328" s="7"/>
      <c r="K328" s="6"/>
    </row>
    <row r="329" spans="1:11" x14ac:dyDescent="0.2">
      <c r="A329" s="6"/>
      <c r="B329" s="7"/>
      <c r="C329" s="7"/>
      <c r="D329" s="7"/>
      <c r="E329" s="7"/>
      <c r="F329" s="7"/>
      <c r="G329" s="8"/>
      <c r="H329" s="7"/>
      <c r="K329" s="6"/>
    </row>
    <row r="330" spans="1:11" x14ac:dyDescent="0.2">
      <c r="A330" s="6"/>
      <c r="B330" s="7"/>
      <c r="C330" s="7"/>
      <c r="D330" s="7"/>
      <c r="E330" s="7"/>
      <c r="F330" s="7"/>
      <c r="G330" s="8"/>
      <c r="H330" s="7"/>
      <c r="K330" s="6"/>
    </row>
    <row r="331" spans="1:11" x14ac:dyDescent="0.2">
      <c r="A331" s="6"/>
      <c r="B331" s="7"/>
      <c r="C331" s="7"/>
      <c r="D331" s="7"/>
      <c r="E331" s="7"/>
      <c r="F331" s="7"/>
      <c r="G331" s="8"/>
      <c r="H331" s="7"/>
      <c r="K331" s="6"/>
    </row>
    <row r="332" spans="1:11" x14ac:dyDescent="0.2">
      <c r="A332" s="6"/>
      <c r="B332" s="7"/>
      <c r="C332" s="7"/>
      <c r="D332" s="7"/>
      <c r="E332" s="7"/>
      <c r="F332" s="7"/>
      <c r="G332" s="8"/>
      <c r="H332" s="7"/>
      <c r="K332" s="6"/>
    </row>
    <row r="333" spans="1:11" x14ac:dyDescent="0.2">
      <c r="A333" s="6"/>
      <c r="B333" s="7"/>
      <c r="C333" s="7"/>
      <c r="D333" s="7"/>
      <c r="E333" s="7"/>
      <c r="F333" s="7"/>
      <c r="G333" s="8"/>
      <c r="H333" s="7"/>
      <c r="K333" s="6"/>
    </row>
    <row r="334" spans="1:11" x14ac:dyDescent="0.2">
      <c r="A334" s="6"/>
      <c r="B334" s="7"/>
      <c r="C334" s="7"/>
      <c r="D334" s="7"/>
      <c r="E334" s="7"/>
      <c r="F334" s="7"/>
      <c r="G334" s="8"/>
      <c r="H334" s="7"/>
      <c r="K334" s="6"/>
    </row>
    <row r="335" spans="1:11" x14ac:dyDescent="0.2">
      <c r="A335" s="6"/>
      <c r="B335" s="7"/>
      <c r="C335" s="7"/>
      <c r="D335" s="7"/>
      <c r="E335" s="7"/>
      <c r="F335" s="7"/>
      <c r="G335" s="8"/>
      <c r="H335" s="7"/>
      <c r="K335" s="6"/>
    </row>
    <row r="336" spans="1:11" x14ac:dyDescent="0.2">
      <c r="A336" s="6"/>
      <c r="B336" s="7"/>
      <c r="C336" s="7"/>
      <c r="D336" s="7"/>
      <c r="E336" s="7"/>
      <c r="F336" s="7"/>
      <c r="G336" s="8"/>
      <c r="H336" s="7"/>
      <c r="K336" s="6"/>
    </row>
    <row r="337" spans="1:11" x14ac:dyDescent="0.2">
      <c r="A337" s="6"/>
      <c r="B337" s="7"/>
      <c r="C337" s="7"/>
      <c r="D337" s="7"/>
      <c r="E337" s="7"/>
      <c r="F337" s="7"/>
      <c r="G337" s="8"/>
      <c r="H337" s="7"/>
      <c r="K337" s="6"/>
    </row>
    <row r="338" spans="1:11" x14ac:dyDescent="0.2">
      <c r="A338" s="6"/>
      <c r="B338" s="7"/>
      <c r="C338" s="7"/>
      <c r="D338" s="7"/>
      <c r="E338" s="7"/>
      <c r="F338" s="7"/>
      <c r="G338" s="8"/>
      <c r="H338" s="7"/>
      <c r="K338" s="6"/>
    </row>
    <row r="339" spans="1:11" x14ac:dyDescent="0.2">
      <c r="A339" s="6"/>
      <c r="B339" s="7"/>
      <c r="C339" s="7"/>
      <c r="D339" s="7"/>
      <c r="E339" s="7"/>
      <c r="F339" s="7"/>
      <c r="G339" s="8"/>
      <c r="H339" s="7"/>
      <c r="K339" s="6"/>
    </row>
    <row r="340" spans="1:11" x14ac:dyDescent="0.2">
      <c r="A340" s="6"/>
      <c r="B340" s="7"/>
      <c r="C340" s="7"/>
      <c r="D340" s="7"/>
      <c r="E340" s="7"/>
      <c r="F340" s="7"/>
      <c r="G340" s="8"/>
      <c r="H340" s="7"/>
      <c r="K340" s="6"/>
    </row>
    <row r="341" spans="1:11" x14ac:dyDescent="0.2">
      <c r="A341" s="6"/>
      <c r="B341" s="7"/>
      <c r="C341" s="7"/>
      <c r="D341" s="7"/>
      <c r="E341" s="7"/>
      <c r="F341" s="7"/>
      <c r="G341" s="8"/>
      <c r="H341" s="7"/>
      <c r="K341" s="6"/>
    </row>
    <row r="342" spans="1:11" x14ac:dyDescent="0.2">
      <c r="A342" s="6"/>
      <c r="B342" s="7"/>
      <c r="C342" s="7"/>
      <c r="D342" s="7"/>
      <c r="E342" s="7"/>
      <c r="F342" s="7"/>
      <c r="G342" s="8"/>
      <c r="H342" s="7"/>
      <c r="K342" s="6"/>
    </row>
    <row r="343" spans="1:11" x14ac:dyDescent="0.2">
      <c r="A343" s="6"/>
      <c r="B343" s="7"/>
      <c r="C343" s="7"/>
      <c r="D343" s="7"/>
      <c r="E343" s="7"/>
      <c r="F343" s="7"/>
      <c r="G343" s="8"/>
      <c r="H343" s="7"/>
      <c r="K343" s="6"/>
    </row>
    <row r="344" spans="1:11" x14ac:dyDescent="0.2">
      <c r="A344" s="6"/>
      <c r="B344" s="7"/>
      <c r="C344" s="7"/>
      <c r="D344" s="7"/>
      <c r="E344" s="7"/>
      <c r="F344" s="7"/>
      <c r="G344" s="8"/>
      <c r="H344" s="7"/>
      <c r="K344" s="6"/>
    </row>
    <row r="345" spans="1:11" x14ac:dyDescent="0.2">
      <c r="A345" s="6"/>
      <c r="B345" s="7"/>
      <c r="C345" s="7"/>
      <c r="D345" s="7"/>
      <c r="E345" s="7"/>
      <c r="F345" s="7"/>
      <c r="G345" s="8"/>
      <c r="H345" s="7"/>
      <c r="K345" s="6"/>
    </row>
    <row r="346" spans="1:11" x14ac:dyDescent="0.2">
      <c r="A346" s="6"/>
      <c r="B346" s="7"/>
      <c r="C346" s="7"/>
      <c r="D346" s="7"/>
      <c r="E346" s="7"/>
      <c r="F346" s="7"/>
      <c r="G346" s="8"/>
      <c r="H346" s="7"/>
      <c r="K346" s="6"/>
    </row>
    <row r="347" spans="1:11" x14ac:dyDescent="0.2">
      <c r="A347" s="6"/>
      <c r="B347" s="7"/>
      <c r="C347" s="7"/>
      <c r="D347" s="7"/>
      <c r="E347" s="7"/>
      <c r="F347" s="7"/>
      <c r="G347" s="8"/>
      <c r="H347" s="7"/>
      <c r="K347" s="6"/>
    </row>
    <row r="348" spans="1:11" x14ac:dyDescent="0.2">
      <c r="A348" s="6"/>
      <c r="B348" s="7"/>
      <c r="C348" s="7"/>
      <c r="D348" s="7"/>
      <c r="E348" s="7"/>
      <c r="F348" s="7"/>
      <c r="G348" s="8"/>
      <c r="H348" s="7"/>
      <c r="K348" s="6"/>
    </row>
    <row r="349" spans="1:11" x14ac:dyDescent="0.2">
      <c r="A349" s="6"/>
      <c r="B349" s="7"/>
      <c r="C349" s="7"/>
      <c r="D349" s="7"/>
      <c r="E349" s="7"/>
      <c r="F349" s="7"/>
      <c r="G349" s="8"/>
      <c r="H349" s="7"/>
      <c r="K349" s="6"/>
    </row>
    <row r="350" spans="1:11" x14ac:dyDescent="0.2">
      <c r="A350" s="6"/>
      <c r="B350" s="7"/>
      <c r="C350" s="7"/>
      <c r="D350" s="7"/>
      <c r="E350" s="7"/>
      <c r="F350" s="7"/>
      <c r="G350" s="8"/>
      <c r="H350" s="7"/>
      <c r="K350" s="6"/>
    </row>
    <row r="351" spans="1:11" x14ac:dyDescent="0.2">
      <c r="A351" s="6"/>
      <c r="B351" s="7"/>
      <c r="C351" s="7"/>
      <c r="D351" s="7"/>
      <c r="E351" s="7"/>
      <c r="F351" s="7"/>
      <c r="G351" s="8"/>
      <c r="H351" s="7"/>
      <c r="K351" s="6"/>
    </row>
    <row r="352" spans="1:11" x14ac:dyDescent="0.2">
      <c r="A352" s="6"/>
      <c r="B352" s="7"/>
      <c r="C352" s="7"/>
      <c r="D352" s="7"/>
      <c r="E352" s="7"/>
      <c r="F352" s="7"/>
      <c r="G352" s="8"/>
      <c r="H352" s="7"/>
      <c r="K352" s="6"/>
    </row>
    <row r="353" spans="1:11" x14ac:dyDescent="0.2">
      <c r="A353" s="6"/>
      <c r="B353" s="7"/>
      <c r="C353" s="7"/>
      <c r="D353" s="7"/>
      <c r="E353" s="7"/>
      <c r="F353" s="7"/>
      <c r="G353" s="8"/>
      <c r="H353" s="7"/>
      <c r="K353" s="6"/>
    </row>
    <row r="354" spans="1:11" x14ac:dyDescent="0.2">
      <c r="A354" s="6"/>
      <c r="B354" s="7"/>
      <c r="C354" s="7"/>
      <c r="D354" s="7"/>
      <c r="E354" s="7"/>
      <c r="F354" s="7"/>
      <c r="G354" s="8"/>
      <c r="H354" s="7"/>
      <c r="K354" s="6"/>
    </row>
    <row r="355" spans="1:11" x14ac:dyDescent="0.2">
      <c r="A355" s="6"/>
      <c r="B355" s="7"/>
      <c r="C355" s="7"/>
      <c r="D355" s="7"/>
      <c r="E355" s="7"/>
      <c r="F355" s="7"/>
      <c r="G355" s="8"/>
      <c r="H355" s="7"/>
      <c r="K355" s="6"/>
    </row>
    <row r="356" spans="1:11" x14ac:dyDescent="0.2">
      <c r="A356" s="6"/>
      <c r="B356" s="7"/>
      <c r="C356" s="7"/>
      <c r="D356" s="7"/>
      <c r="E356" s="7"/>
      <c r="F356" s="7"/>
      <c r="G356" s="8"/>
      <c r="H356" s="7"/>
      <c r="K356" s="6"/>
    </row>
    <row r="357" spans="1:11" x14ac:dyDescent="0.2">
      <c r="A357" s="6"/>
      <c r="B357" s="7"/>
      <c r="C357" s="7"/>
      <c r="D357" s="7"/>
      <c r="E357" s="7"/>
      <c r="F357" s="7"/>
      <c r="G357" s="8"/>
      <c r="H357" s="7"/>
      <c r="K357" s="6"/>
    </row>
    <row r="358" spans="1:11" x14ac:dyDescent="0.2">
      <c r="A358" s="6"/>
      <c r="B358" s="7"/>
      <c r="C358" s="7"/>
      <c r="D358" s="7"/>
      <c r="E358" s="7"/>
      <c r="F358" s="7"/>
      <c r="G358" s="8"/>
      <c r="H358" s="7"/>
      <c r="K358" s="6"/>
    </row>
    <row r="359" spans="1:11" x14ac:dyDescent="0.2">
      <c r="A359" s="6"/>
      <c r="B359" s="7"/>
      <c r="C359" s="7"/>
      <c r="D359" s="7"/>
      <c r="E359" s="7"/>
      <c r="F359" s="7"/>
      <c r="G359" s="8"/>
      <c r="H359" s="7"/>
      <c r="K359" s="6"/>
    </row>
    <row r="360" spans="1:11" x14ac:dyDescent="0.2">
      <c r="A360" s="6"/>
      <c r="B360" s="7"/>
      <c r="C360" s="7"/>
      <c r="D360" s="7"/>
      <c r="E360" s="7"/>
      <c r="F360" s="7"/>
      <c r="G360" s="8"/>
      <c r="H360" s="7"/>
      <c r="K360" s="6"/>
    </row>
    <row r="361" spans="1:11" x14ac:dyDescent="0.2">
      <c r="A361" s="6"/>
      <c r="B361" s="7"/>
      <c r="C361" s="7"/>
      <c r="D361" s="7"/>
      <c r="E361" s="7"/>
      <c r="F361" s="7"/>
      <c r="G361" s="8"/>
      <c r="H361" s="7"/>
      <c r="K361" s="6"/>
    </row>
    <row r="362" spans="1:11" x14ac:dyDescent="0.2">
      <c r="A362" s="6"/>
      <c r="B362" s="7"/>
      <c r="C362" s="7"/>
      <c r="D362" s="7"/>
      <c r="E362" s="7"/>
      <c r="F362" s="7"/>
      <c r="G362" s="8"/>
      <c r="H362" s="7"/>
      <c r="K362" s="6"/>
    </row>
    <row r="363" spans="1:11" x14ac:dyDescent="0.2">
      <c r="A363" s="6"/>
      <c r="B363" s="7"/>
      <c r="C363" s="7"/>
      <c r="D363" s="7"/>
      <c r="E363" s="7"/>
      <c r="F363" s="7"/>
      <c r="G363" s="8"/>
      <c r="H363" s="7"/>
      <c r="K363" s="6"/>
    </row>
    <row r="364" spans="1:11" x14ac:dyDescent="0.2">
      <c r="A364" s="6"/>
      <c r="B364" s="7"/>
      <c r="C364" s="7"/>
      <c r="D364" s="7"/>
      <c r="E364" s="7"/>
      <c r="F364" s="7"/>
      <c r="G364" s="8"/>
      <c r="H364" s="7"/>
      <c r="K364" s="6"/>
    </row>
    <row r="365" spans="1:11" x14ac:dyDescent="0.2">
      <c r="A365" s="6"/>
      <c r="B365" s="7"/>
      <c r="C365" s="7"/>
      <c r="D365" s="7"/>
      <c r="E365" s="7"/>
      <c r="F365" s="7"/>
      <c r="G365" s="8"/>
      <c r="H365" s="7"/>
      <c r="K365" s="6"/>
    </row>
    <row r="366" spans="1:11" x14ac:dyDescent="0.2">
      <c r="A366" s="6"/>
      <c r="B366" s="7"/>
      <c r="C366" s="7"/>
      <c r="D366" s="7"/>
      <c r="E366" s="7"/>
      <c r="F366" s="7"/>
      <c r="G366" s="8"/>
      <c r="H366" s="7"/>
      <c r="K366" s="6"/>
    </row>
    <row r="367" spans="1:11" x14ac:dyDescent="0.2">
      <c r="A367" s="6"/>
      <c r="B367" s="7"/>
      <c r="C367" s="7"/>
      <c r="D367" s="7"/>
      <c r="E367" s="7"/>
      <c r="F367" s="7"/>
      <c r="G367" s="8"/>
      <c r="H367" s="7"/>
      <c r="K367" s="6"/>
    </row>
    <row r="368" spans="1:11" x14ac:dyDescent="0.2">
      <c r="A368" s="6"/>
      <c r="B368" s="7"/>
      <c r="C368" s="7"/>
      <c r="D368" s="7"/>
      <c r="E368" s="7"/>
      <c r="F368" s="7"/>
      <c r="G368" s="8"/>
      <c r="H368" s="7"/>
      <c r="K368" s="6"/>
    </row>
    <row r="369" spans="1:11" x14ac:dyDescent="0.2">
      <c r="A369" s="6"/>
      <c r="B369" s="7"/>
      <c r="C369" s="7"/>
      <c r="D369" s="7"/>
      <c r="E369" s="7"/>
      <c r="F369" s="7"/>
      <c r="G369" s="8"/>
      <c r="H369" s="7"/>
      <c r="K369" s="6"/>
    </row>
    <row r="370" spans="1:11" x14ac:dyDescent="0.2">
      <c r="A370" s="6"/>
      <c r="B370" s="7"/>
      <c r="C370" s="7"/>
      <c r="D370" s="7"/>
      <c r="E370" s="7"/>
      <c r="F370" s="7"/>
      <c r="G370" s="8"/>
      <c r="H370" s="7"/>
      <c r="K370" s="6"/>
    </row>
    <row r="371" spans="1:11" x14ac:dyDescent="0.2">
      <c r="A371" s="6"/>
      <c r="B371" s="7"/>
      <c r="C371" s="7"/>
      <c r="D371" s="7"/>
      <c r="E371" s="7"/>
      <c r="F371" s="7"/>
      <c r="G371" s="8"/>
      <c r="H371" s="7"/>
      <c r="K371" s="6"/>
    </row>
    <row r="372" spans="1:11" x14ac:dyDescent="0.2">
      <c r="A372" s="6"/>
      <c r="B372" s="7"/>
      <c r="C372" s="7"/>
      <c r="D372" s="7"/>
      <c r="E372" s="7"/>
      <c r="F372" s="7"/>
      <c r="G372" s="8"/>
      <c r="H372" s="7"/>
      <c r="K372" s="6"/>
    </row>
    <row r="373" spans="1:11" x14ac:dyDescent="0.2">
      <c r="A373" s="6"/>
      <c r="B373" s="7"/>
      <c r="C373" s="7"/>
      <c r="D373" s="7"/>
      <c r="E373" s="7"/>
      <c r="F373" s="7"/>
      <c r="G373" s="8"/>
      <c r="H373" s="7"/>
      <c r="K373" s="6"/>
    </row>
    <row r="374" spans="1:11" x14ac:dyDescent="0.2">
      <c r="A374" s="6"/>
      <c r="B374" s="7"/>
      <c r="C374" s="7"/>
      <c r="D374" s="7"/>
      <c r="E374" s="7"/>
      <c r="F374" s="7"/>
      <c r="G374" s="8"/>
      <c r="H374" s="7"/>
      <c r="K374" s="6"/>
    </row>
    <row r="375" spans="1:11" x14ac:dyDescent="0.2">
      <c r="A375" s="6"/>
      <c r="B375" s="7"/>
      <c r="C375" s="7"/>
      <c r="D375" s="7"/>
      <c r="E375" s="7"/>
      <c r="F375" s="7"/>
      <c r="G375" s="8"/>
      <c r="H375" s="7"/>
      <c r="K375" s="6"/>
    </row>
    <row r="376" spans="1:11" x14ac:dyDescent="0.2">
      <c r="A376" s="6"/>
      <c r="B376" s="7"/>
      <c r="H376" s="7"/>
      <c r="K376" s="6"/>
    </row>
    <row r="377" spans="1:11" x14ac:dyDescent="0.2">
      <c r="A377" s="6"/>
      <c r="B377" s="7"/>
      <c r="C377" s="7"/>
      <c r="D377" s="7"/>
      <c r="E377" s="7"/>
      <c r="F377" s="7"/>
      <c r="G377" s="8"/>
      <c r="H377" s="7"/>
      <c r="K377" s="6"/>
    </row>
    <row r="378" spans="1:11" x14ac:dyDescent="0.2">
      <c r="A378" s="6"/>
      <c r="B378" s="7"/>
      <c r="C378" s="7"/>
      <c r="D378" s="7"/>
      <c r="E378" s="7"/>
      <c r="F378" s="7"/>
      <c r="G378" s="8"/>
      <c r="H378" s="7"/>
      <c r="K378" s="6"/>
    </row>
    <row r="379" spans="1:11" x14ac:dyDescent="0.2">
      <c r="A379" s="6"/>
      <c r="B379" s="7"/>
      <c r="C379" s="7"/>
      <c r="D379" s="7"/>
      <c r="E379" s="7"/>
      <c r="F379" s="7"/>
      <c r="G379" s="8"/>
      <c r="H379" s="7"/>
      <c r="K379" s="6"/>
    </row>
    <row r="380" spans="1:11" x14ac:dyDescent="0.2">
      <c r="A380" s="6"/>
      <c r="B380" s="7"/>
      <c r="C380" s="7"/>
      <c r="D380" s="7"/>
      <c r="E380" s="7"/>
      <c r="F380" s="7"/>
      <c r="G380" s="8"/>
      <c r="K380" s="6"/>
    </row>
    <row r="381" spans="1:11" x14ac:dyDescent="0.2">
      <c r="A381" s="6"/>
      <c r="B381" s="7"/>
      <c r="C381" s="7"/>
      <c r="D381" s="7"/>
      <c r="E381" s="7"/>
      <c r="F381" s="7"/>
      <c r="G381" s="8"/>
      <c r="H381" s="7"/>
      <c r="K381" s="6"/>
    </row>
    <row r="382" spans="1:11" x14ac:dyDescent="0.2">
      <c r="A382" s="6"/>
      <c r="B382" s="7"/>
      <c r="C382" s="7"/>
      <c r="D382" s="7"/>
      <c r="E382" s="7"/>
      <c r="F382" s="7"/>
      <c r="G382" s="8"/>
      <c r="K382" s="6"/>
    </row>
    <row r="383" spans="1:11" x14ac:dyDescent="0.2">
      <c r="A383" s="6"/>
      <c r="B383" s="7"/>
      <c r="C383" s="7"/>
      <c r="D383" s="7"/>
      <c r="E383" s="7"/>
      <c r="F383" s="7"/>
      <c r="G383" s="8"/>
      <c r="H383" s="7"/>
      <c r="K383" s="6"/>
    </row>
    <row r="384" spans="1:11" x14ac:dyDescent="0.2">
      <c r="A384" s="6"/>
      <c r="B384" s="7"/>
      <c r="C384" s="7"/>
      <c r="D384" s="7"/>
      <c r="E384" s="7"/>
      <c r="F384" s="7"/>
      <c r="G384" s="8"/>
      <c r="H384" s="7"/>
      <c r="K384" s="6"/>
    </row>
    <row r="385" spans="1:11" x14ac:dyDescent="0.2">
      <c r="A385" s="6"/>
      <c r="B385" s="7"/>
      <c r="C385" s="7"/>
      <c r="D385" s="7"/>
      <c r="E385" s="7"/>
      <c r="F385" s="7"/>
      <c r="G385" s="8"/>
      <c r="H385" s="7"/>
      <c r="K385" s="6"/>
    </row>
    <row r="386" spans="1:11" x14ac:dyDescent="0.2">
      <c r="A386" s="6"/>
      <c r="B386" s="7"/>
      <c r="C386" s="7"/>
      <c r="D386" s="7"/>
      <c r="E386" s="7"/>
      <c r="F386" s="7"/>
      <c r="G386" s="8"/>
      <c r="H386" s="7"/>
      <c r="K386" s="6"/>
    </row>
    <row r="387" spans="1:11" x14ac:dyDescent="0.2">
      <c r="A387" s="6"/>
      <c r="B387" s="7"/>
      <c r="C387" s="7"/>
      <c r="D387" s="7"/>
      <c r="E387" s="7"/>
      <c r="F387" s="7"/>
      <c r="G387" s="8"/>
      <c r="H387" s="7"/>
      <c r="K387" s="6"/>
    </row>
    <row r="388" spans="1:11" x14ac:dyDescent="0.2">
      <c r="A388" s="6"/>
      <c r="B388" s="7"/>
      <c r="C388" s="7"/>
      <c r="D388" s="7"/>
      <c r="E388" s="7"/>
      <c r="F388" s="7"/>
      <c r="G388" s="8"/>
      <c r="H388" s="7"/>
      <c r="K388" s="6"/>
    </row>
    <row r="389" spans="1:11" x14ac:dyDescent="0.2">
      <c r="A389" s="6"/>
      <c r="B389" s="7"/>
      <c r="C389" s="7"/>
      <c r="D389" s="7"/>
      <c r="E389" s="7"/>
      <c r="F389" s="7"/>
      <c r="G389" s="8"/>
      <c r="H389" s="7"/>
      <c r="K389" s="6"/>
    </row>
    <row r="390" spans="1:11" x14ac:dyDescent="0.2">
      <c r="A390" s="6"/>
      <c r="B390" s="7"/>
      <c r="C390" s="7"/>
      <c r="D390" s="7"/>
      <c r="E390" s="7"/>
      <c r="F390" s="7"/>
      <c r="G390" s="8"/>
      <c r="H390" s="7"/>
      <c r="K390" s="6"/>
    </row>
    <row r="391" spans="1:11" x14ac:dyDescent="0.2">
      <c r="A391" s="6"/>
      <c r="B391" s="7"/>
      <c r="C391" s="7"/>
      <c r="D391" s="7"/>
      <c r="E391" s="7"/>
      <c r="F391" s="7"/>
      <c r="G391" s="8"/>
      <c r="H391" s="7"/>
      <c r="K391" s="6"/>
    </row>
    <row r="392" spans="1:11" x14ac:dyDescent="0.2">
      <c r="A392" s="6"/>
      <c r="B392" s="7"/>
      <c r="C392" s="7"/>
      <c r="D392" s="7"/>
      <c r="E392" s="7"/>
      <c r="F392" s="7"/>
      <c r="G392" s="8"/>
      <c r="H392" s="7"/>
      <c r="K392" s="6"/>
    </row>
    <row r="393" spans="1:11" x14ac:dyDescent="0.2">
      <c r="A393" s="6"/>
      <c r="B393" s="7"/>
      <c r="C393" s="7"/>
      <c r="D393" s="7"/>
      <c r="E393" s="7"/>
      <c r="F393" s="7"/>
      <c r="G393" s="8"/>
      <c r="H393" s="7"/>
      <c r="K393" s="6"/>
    </row>
    <row r="394" spans="1:11" x14ac:dyDescent="0.2">
      <c r="A394" s="6"/>
      <c r="B394" s="7"/>
      <c r="C394" s="7"/>
      <c r="D394" s="7"/>
      <c r="E394" s="7"/>
      <c r="F394" s="7"/>
      <c r="G394" s="8"/>
      <c r="H394" s="7"/>
      <c r="K394" s="6"/>
    </row>
    <row r="395" spans="1:11" x14ac:dyDescent="0.2">
      <c r="A395" s="6"/>
      <c r="B395" s="7"/>
      <c r="C395" s="7"/>
      <c r="D395" s="7"/>
      <c r="E395" s="7"/>
      <c r="F395" s="7"/>
      <c r="G395" s="8"/>
      <c r="H395" s="7"/>
      <c r="K395" s="6"/>
    </row>
    <row r="396" spans="1:11" x14ac:dyDescent="0.2">
      <c r="A396" s="6"/>
      <c r="B396" s="7"/>
      <c r="C396" s="7"/>
      <c r="D396" s="7"/>
      <c r="E396" s="7"/>
      <c r="F396" s="7"/>
      <c r="G396" s="8"/>
      <c r="H396" s="7"/>
      <c r="K396" s="6"/>
    </row>
    <row r="397" spans="1:11" x14ac:dyDescent="0.2">
      <c r="A397" s="6"/>
      <c r="B397" s="7"/>
      <c r="C397" s="7"/>
      <c r="D397" s="7"/>
      <c r="E397" s="7"/>
      <c r="F397" s="7"/>
      <c r="G397" s="8"/>
      <c r="H397" s="7"/>
      <c r="K397" s="6"/>
    </row>
    <row r="398" spans="1:11" x14ac:dyDescent="0.2">
      <c r="A398" s="6"/>
      <c r="B398" s="7"/>
      <c r="C398" s="7"/>
      <c r="D398" s="7"/>
      <c r="E398" s="7"/>
      <c r="F398" s="7"/>
      <c r="G398" s="8"/>
      <c r="H398" s="7"/>
      <c r="K398" s="6"/>
    </row>
    <row r="399" spans="1:11" x14ac:dyDescent="0.2">
      <c r="A399" s="6"/>
      <c r="B399" s="7"/>
      <c r="C399" s="7"/>
      <c r="D399" s="7"/>
      <c r="E399" s="7"/>
      <c r="F399" s="7"/>
      <c r="G399" s="8"/>
      <c r="H399" s="7"/>
      <c r="K399" s="6"/>
    </row>
    <row r="400" spans="1:11" x14ac:dyDescent="0.2">
      <c r="A400" s="6"/>
      <c r="B400" s="7"/>
      <c r="C400" s="7"/>
      <c r="D400" s="7"/>
      <c r="E400" s="7"/>
      <c r="F400" s="7"/>
      <c r="G400" s="8"/>
      <c r="H400" s="7"/>
      <c r="K400" s="6"/>
    </row>
    <row r="401" spans="1:11" x14ac:dyDescent="0.2">
      <c r="A401" s="6"/>
      <c r="B401" s="7"/>
      <c r="C401" s="7"/>
      <c r="D401" s="7"/>
      <c r="E401" s="7"/>
      <c r="F401" s="7"/>
      <c r="G401" s="8"/>
      <c r="H401" s="7"/>
      <c r="K401" s="6"/>
    </row>
    <row r="402" spans="1:11" x14ac:dyDescent="0.2">
      <c r="A402" s="6"/>
      <c r="B402" s="7"/>
      <c r="C402" s="7"/>
      <c r="D402" s="7"/>
      <c r="E402" s="7"/>
      <c r="F402" s="7"/>
      <c r="G402" s="8"/>
      <c r="H402" s="7"/>
      <c r="K402" s="6"/>
    </row>
    <row r="403" spans="1:11" x14ac:dyDescent="0.2">
      <c r="A403" s="6"/>
      <c r="B403" s="7"/>
      <c r="C403" s="7"/>
      <c r="D403" s="7"/>
      <c r="E403" s="7"/>
      <c r="F403" s="7"/>
      <c r="G403" s="8"/>
      <c r="H403" s="7"/>
      <c r="K403" s="6"/>
    </row>
    <row r="404" spans="1:11" x14ac:dyDescent="0.2">
      <c r="A404" s="6"/>
      <c r="B404" s="7"/>
      <c r="C404" s="7"/>
      <c r="D404" s="7"/>
      <c r="E404" s="7"/>
      <c r="F404" s="7"/>
      <c r="G404" s="8"/>
      <c r="H404" s="7"/>
      <c r="K404" s="6"/>
    </row>
    <row r="405" spans="1:11" x14ac:dyDescent="0.2">
      <c r="A405" s="6"/>
      <c r="B405" s="7"/>
      <c r="C405" s="7"/>
      <c r="D405" s="7"/>
      <c r="E405" s="7"/>
      <c r="F405" s="7"/>
      <c r="G405" s="8"/>
      <c r="H405" s="7"/>
      <c r="K405" s="6"/>
    </row>
    <row r="406" spans="1:11" x14ac:dyDescent="0.2">
      <c r="A406" s="6"/>
      <c r="B406" s="7"/>
      <c r="C406" s="7"/>
      <c r="D406" s="7"/>
      <c r="E406" s="7"/>
      <c r="F406" s="7"/>
      <c r="G406" s="8"/>
      <c r="H406" s="7"/>
      <c r="K406" s="6"/>
    </row>
    <row r="407" spans="1:11" x14ac:dyDescent="0.2">
      <c r="A407" s="6"/>
      <c r="B407" s="7"/>
      <c r="C407" s="7"/>
      <c r="D407" s="7"/>
      <c r="E407" s="7"/>
      <c r="F407" s="7"/>
      <c r="G407" s="8"/>
      <c r="H407" s="7"/>
      <c r="K407" s="6"/>
    </row>
    <row r="408" spans="1:11" x14ac:dyDescent="0.2">
      <c r="A408" s="6"/>
      <c r="B408" s="7"/>
      <c r="C408" s="7"/>
      <c r="D408" s="7"/>
      <c r="E408" s="7"/>
      <c r="F408" s="7"/>
      <c r="G408" s="8"/>
      <c r="H408" s="7"/>
      <c r="K408" s="6"/>
    </row>
    <row r="409" spans="1:11" x14ac:dyDescent="0.2">
      <c r="A409" s="6"/>
      <c r="B409" s="7"/>
      <c r="C409" s="7"/>
      <c r="D409" s="7"/>
      <c r="E409" s="7"/>
      <c r="F409" s="7"/>
      <c r="G409" s="8"/>
      <c r="H409" s="7"/>
      <c r="K409" s="6"/>
    </row>
    <row r="410" spans="1:11" x14ac:dyDescent="0.2">
      <c r="A410" s="6"/>
      <c r="B410" s="7"/>
      <c r="C410" s="7"/>
      <c r="D410" s="7"/>
      <c r="E410" s="7"/>
      <c r="F410" s="7"/>
      <c r="G410" s="8"/>
      <c r="H410" s="7"/>
      <c r="K410" s="6"/>
    </row>
    <row r="411" spans="1:11" x14ac:dyDescent="0.2">
      <c r="A411" s="6"/>
      <c r="B411" s="7"/>
      <c r="C411" s="7"/>
      <c r="D411" s="7"/>
      <c r="E411" s="7"/>
      <c r="F411" s="7"/>
      <c r="G411" s="8"/>
      <c r="H411" s="7"/>
      <c r="K411" s="6"/>
    </row>
    <row r="412" spans="1:11" x14ac:dyDescent="0.2">
      <c r="A412" s="6"/>
      <c r="B412" s="7"/>
      <c r="C412" s="7"/>
      <c r="D412" s="7"/>
      <c r="E412" s="7"/>
      <c r="F412" s="7"/>
      <c r="G412" s="8"/>
      <c r="H412" s="7"/>
      <c r="K412" s="6"/>
    </row>
    <row r="413" spans="1:11" x14ac:dyDescent="0.2">
      <c r="A413" s="6"/>
      <c r="B413" s="7"/>
      <c r="C413" s="7"/>
      <c r="D413" s="7"/>
      <c r="E413" s="7"/>
      <c r="F413" s="7"/>
      <c r="G413" s="8"/>
      <c r="H413" s="7"/>
      <c r="K413" s="6"/>
    </row>
    <row r="414" spans="1:11" x14ac:dyDescent="0.2">
      <c r="A414" s="6"/>
      <c r="B414" s="7"/>
      <c r="C414" s="7"/>
      <c r="D414" s="7"/>
      <c r="E414" s="7"/>
      <c r="F414" s="7"/>
      <c r="G414" s="8"/>
      <c r="H414" s="7"/>
      <c r="K414" s="6"/>
    </row>
    <row r="415" spans="1:11" x14ac:dyDescent="0.2">
      <c r="A415" s="6"/>
      <c r="B415" s="7"/>
      <c r="C415" s="7"/>
      <c r="D415" s="7"/>
      <c r="E415" s="7"/>
      <c r="F415" s="7"/>
      <c r="G415" s="8"/>
      <c r="H415" s="7"/>
      <c r="K415" s="6"/>
    </row>
    <row r="416" spans="1:11" x14ac:dyDescent="0.2">
      <c r="A416" s="6"/>
      <c r="B416" s="7"/>
      <c r="C416" s="7"/>
      <c r="D416" s="7"/>
      <c r="E416" s="7"/>
      <c r="F416" s="7"/>
      <c r="G416" s="8"/>
      <c r="H416" s="7"/>
      <c r="K416" s="6"/>
    </row>
    <row r="417" spans="1:11" x14ac:dyDescent="0.2">
      <c r="A417" s="6"/>
      <c r="B417" s="7"/>
      <c r="C417" s="7"/>
      <c r="D417" s="7"/>
      <c r="E417" s="7"/>
      <c r="F417" s="7"/>
      <c r="G417" s="8"/>
      <c r="H417" s="7"/>
      <c r="K417" s="6"/>
    </row>
    <row r="418" spans="1:11" x14ac:dyDescent="0.2">
      <c r="A418" s="6"/>
      <c r="B418" s="7"/>
      <c r="C418" s="7"/>
      <c r="D418" s="7"/>
      <c r="E418" s="7"/>
      <c r="F418" s="7"/>
      <c r="G418" s="8"/>
      <c r="H418" s="7"/>
      <c r="K418" s="6"/>
    </row>
    <row r="419" spans="1:11" x14ac:dyDescent="0.2">
      <c r="A419" s="6"/>
      <c r="B419" s="7"/>
      <c r="C419" s="7"/>
      <c r="D419" s="7"/>
      <c r="E419" s="7"/>
      <c r="F419" s="7"/>
      <c r="G419" s="8"/>
      <c r="H419" s="7"/>
      <c r="K419" s="6"/>
    </row>
    <row r="420" spans="1:11" x14ac:dyDescent="0.2">
      <c r="A420" s="6"/>
      <c r="B420" s="7"/>
      <c r="C420" s="7"/>
      <c r="D420" s="7"/>
      <c r="E420" s="7"/>
      <c r="F420" s="7"/>
      <c r="G420" s="8"/>
      <c r="H420" s="7"/>
      <c r="K420" s="6"/>
    </row>
    <row r="421" spans="1:11" x14ac:dyDescent="0.2">
      <c r="A421" s="6"/>
      <c r="B421" s="7"/>
      <c r="C421" s="7"/>
      <c r="D421" s="7"/>
      <c r="E421" s="7"/>
      <c r="F421" s="7"/>
      <c r="G421" s="8"/>
      <c r="H421" s="7"/>
      <c r="K421" s="6"/>
    </row>
    <row r="422" spans="1:11" x14ac:dyDescent="0.2">
      <c r="A422" s="6"/>
      <c r="B422" s="7"/>
      <c r="C422" s="7"/>
      <c r="D422" s="7"/>
      <c r="E422" s="7"/>
      <c r="F422" s="7"/>
      <c r="G422" s="8"/>
      <c r="H422" s="7"/>
      <c r="K422" s="6"/>
    </row>
    <row r="423" spans="1:11" x14ac:dyDescent="0.2">
      <c r="A423" s="6"/>
      <c r="B423" s="7"/>
      <c r="C423" s="7"/>
      <c r="D423" s="7"/>
      <c r="E423" s="7"/>
      <c r="F423" s="7"/>
      <c r="G423" s="8"/>
      <c r="H423" s="7"/>
      <c r="K423" s="6"/>
    </row>
    <row r="424" spans="1:11" x14ac:dyDescent="0.2">
      <c r="A424" s="6"/>
      <c r="B424" s="7"/>
      <c r="C424" s="7"/>
      <c r="D424" s="7"/>
      <c r="E424" s="7"/>
      <c r="F424" s="7"/>
      <c r="G424" s="8"/>
      <c r="H424" s="7"/>
      <c r="K424" s="6"/>
    </row>
    <row r="425" spans="1:11" x14ac:dyDescent="0.2">
      <c r="A425" s="6"/>
      <c r="B425" s="7"/>
      <c r="C425" s="7"/>
      <c r="D425" s="7"/>
      <c r="E425" s="7"/>
      <c r="F425" s="7"/>
      <c r="G425" s="8"/>
      <c r="H425" s="7"/>
      <c r="K425" s="6"/>
    </row>
    <row r="426" spans="1:11" x14ac:dyDescent="0.2">
      <c r="A426" s="6"/>
      <c r="B426" s="7"/>
      <c r="C426" s="7"/>
      <c r="D426" s="7"/>
      <c r="E426" s="7"/>
      <c r="F426" s="7"/>
      <c r="G426" s="8"/>
      <c r="H426" s="7"/>
      <c r="K426" s="6"/>
    </row>
    <row r="427" spans="1:11" x14ac:dyDescent="0.2">
      <c r="A427" s="6"/>
      <c r="B427" s="7"/>
      <c r="C427" s="7"/>
      <c r="D427" s="7"/>
      <c r="E427" s="7"/>
      <c r="F427" s="7"/>
      <c r="G427" s="8"/>
      <c r="H427" s="7"/>
      <c r="K427" s="6"/>
    </row>
    <row r="428" spans="1:11" x14ac:dyDescent="0.2">
      <c r="A428" s="6"/>
      <c r="B428" s="7"/>
      <c r="C428" s="7"/>
      <c r="D428" s="7"/>
      <c r="E428" s="7"/>
      <c r="F428" s="7"/>
      <c r="G428" s="8"/>
      <c r="H428" s="7"/>
      <c r="K428" s="6"/>
    </row>
    <row r="429" spans="1:11" x14ac:dyDescent="0.2">
      <c r="A429" s="6"/>
      <c r="B429" s="7"/>
      <c r="C429" s="7"/>
      <c r="D429" s="7"/>
      <c r="E429" s="7"/>
      <c r="F429" s="7"/>
      <c r="G429" s="8"/>
      <c r="H429" s="7"/>
      <c r="K429" s="6"/>
    </row>
    <row r="430" spans="1:11" x14ac:dyDescent="0.2">
      <c r="A430" s="6"/>
      <c r="B430" s="7"/>
      <c r="C430" s="7"/>
      <c r="D430" s="7"/>
      <c r="E430" s="7"/>
      <c r="F430" s="7"/>
      <c r="G430" s="8"/>
      <c r="H430" s="7"/>
      <c r="K430" s="6"/>
    </row>
    <row r="431" spans="1:11" x14ac:dyDescent="0.2">
      <c r="A431" s="6"/>
      <c r="B431" s="7"/>
      <c r="C431" s="7"/>
      <c r="D431" s="7"/>
      <c r="E431" s="7"/>
      <c r="F431" s="7"/>
      <c r="G431" s="8"/>
      <c r="H431" s="7"/>
      <c r="K431" s="6"/>
    </row>
    <row r="432" spans="1:11" x14ac:dyDescent="0.2">
      <c r="A432" s="6"/>
      <c r="B432" s="7"/>
      <c r="C432" s="7"/>
      <c r="D432" s="7"/>
      <c r="E432" s="7"/>
      <c r="F432" s="7"/>
      <c r="G432" s="8"/>
      <c r="H432" s="7"/>
      <c r="K432" s="6"/>
    </row>
    <row r="433" spans="1:11" x14ac:dyDescent="0.2">
      <c r="A433" s="6"/>
      <c r="B433" s="7"/>
      <c r="C433" s="7"/>
      <c r="D433" s="7"/>
      <c r="E433" s="7"/>
      <c r="F433" s="7"/>
      <c r="G433" s="8"/>
      <c r="H433" s="7"/>
      <c r="K433" s="6"/>
    </row>
    <row r="434" spans="1:11" x14ac:dyDescent="0.2">
      <c r="A434" s="6"/>
      <c r="B434" s="7"/>
      <c r="C434" s="7"/>
      <c r="D434" s="7"/>
      <c r="E434" s="7"/>
      <c r="F434" s="7"/>
      <c r="G434" s="8"/>
      <c r="H434" s="7"/>
      <c r="K434" s="6"/>
    </row>
    <row r="435" spans="1:11" x14ac:dyDescent="0.2">
      <c r="A435" s="6"/>
      <c r="B435" s="7"/>
      <c r="C435" s="7"/>
      <c r="D435" s="7"/>
      <c r="E435" s="7"/>
      <c r="F435" s="7"/>
      <c r="G435" s="8"/>
      <c r="H435" s="7"/>
      <c r="K435" s="6"/>
    </row>
    <row r="436" spans="1:11" x14ac:dyDescent="0.2">
      <c r="A436" s="6"/>
      <c r="B436" s="7"/>
      <c r="C436" s="7"/>
      <c r="D436" s="7"/>
      <c r="E436" s="7"/>
      <c r="F436" s="7"/>
      <c r="G436" s="8"/>
      <c r="H436" s="7"/>
      <c r="K436" s="6"/>
    </row>
    <row r="437" spans="1:11" x14ac:dyDescent="0.2">
      <c r="A437" s="6"/>
      <c r="B437" s="7"/>
      <c r="C437" s="7"/>
      <c r="D437" s="7"/>
      <c r="E437" s="7"/>
      <c r="F437" s="7"/>
      <c r="G437" s="8"/>
      <c r="H437" s="7"/>
      <c r="K437" s="6"/>
    </row>
    <row r="438" spans="1:11" x14ac:dyDescent="0.2">
      <c r="A438" s="6"/>
      <c r="B438" s="7"/>
      <c r="C438" s="7"/>
      <c r="D438" s="7"/>
      <c r="E438" s="7"/>
      <c r="F438" s="7"/>
      <c r="G438" s="8"/>
      <c r="H438" s="7"/>
      <c r="K438" s="6"/>
    </row>
    <row r="439" spans="1:11" x14ac:dyDescent="0.2">
      <c r="A439" s="6"/>
      <c r="B439" s="7"/>
      <c r="C439" s="7"/>
      <c r="D439" s="7"/>
      <c r="E439" s="7"/>
      <c r="F439" s="7"/>
      <c r="G439" s="8"/>
      <c r="H439" s="7"/>
      <c r="K439" s="6"/>
    </row>
    <row r="440" spans="1:11" x14ac:dyDescent="0.2">
      <c r="A440" s="6"/>
      <c r="B440" s="7"/>
      <c r="H440" s="7"/>
      <c r="K440" s="6"/>
    </row>
    <row r="441" spans="1:11" x14ac:dyDescent="0.2">
      <c r="A441" s="6"/>
      <c r="B441" s="7"/>
      <c r="C441" s="7"/>
      <c r="D441" s="7"/>
      <c r="E441" s="7"/>
      <c r="F441" s="7"/>
      <c r="G441" s="8"/>
      <c r="H441" s="7"/>
      <c r="K441" s="6"/>
    </row>
    <row r="442" spans="1:11" x14ac:dyDescent="0.2">
      <c r="A442" s="6"/>
      <c r="B442" s="7"/>
      <c r="C442" s="7"/>
      <c r="D442" s="7"/>
      <c r="E442" s="7"/>
      <c r="F442" s="7"/>
      <c r="G442" s="8"/>
      <c r="H442" s="7"/>
      <c r="K442" s="6"/>
    </row>
    <row r="443" spans="1:11" x14ac:dyDescent="0.2">
      <c r="A443" s="6"/>
      <c r="B443" s="7"/>
      <c r="C443" s="7"/>
      <c r="D443" s="7"/>
      <c r="E443" s="7"/>
      <c r="F443" s="7"/>
      <c r="G443" s="8"/>
      <c r="H443" s="7"/>
      <c r="K443" s="6"/>
    </row>
    <row r="444" spans="1:11" x14ac:dyDescent="0.2">
      <c r="A444" s="6"/>
      <c r="B444" s="7"/>
      <c r="C444" s="7"/>
      <c r="D444" s="7"/>
      <c r="E444" s="7"/>
      <c r="F444" s="7"/>
      <c r="G444" s="8"/>
      <c r="H444" s="7"/>
      <c r="K444" s="6"/>
    </row>
    <row r="445" spans="1:11" x14ac:dyDescent="0.2">
      <c r="A445" s="6"/>
      <c r="B445" s="7"/>
      <c r="C445" s="7"/>
      <c r="D445" s="7"/>
      <c r="E445" s="7"/>
      <c r="F445" s="7"/>
      <c r="G445" s="8"/>
      <c r="H445" s="7"/>
      <c r="K445" s="6"/>
    </row>
    <row r="446" spans="1:11" x14ac:dyDescent="0.2">
      <c r="A446" s="6"/>
      <c r="B446" s="7"/>
      <c r="C446" s="7"/>
      <c r="D446" s="7"/>
      <c r="E446" s="7"/>
      <c r="F446" s="7"/>
      <c r="G446" s="8"/>
      <c r="H446" s="7"/>
      <c r="K446" s="6"/>
    </row>
    <row r="447" spans="1:11" x14ac:dyDescent="0.2">
      <c r="A447" s="6"/>
      <c r="B447" s="7"/>
      <c r="C447" s="7"/>
      <c r="D447" s="7"/>
      <c r="E447" s="7"/>
      <c r="F447" s="7"/>
      <c r="G447" s="8"/>
      <c r="H447" s="7"/>
      <c r="K447" s="6"/>
    </row>
    <row r="448" spans="1:11" x14ac:dyDescent="0.2">
      <c r="A448" s="6"/>
      <c r="B448" s="7"/>
      <c r="C448" s="7"/>
      <c r="D448" s="7"/>
      <c r="E448" s="7"/>
      <c r="F448" s="7"/>
      <c r="G448" s="8"/>
      <c r="H448" s="7"/>
      <c r="K448" s="6"/>
    </row>
    <row r="449" spans="1:11" x14ac:dyDescent="0.2">
      <c r="A449" s="6"/>
      <c r="B449" s="7"/>
      <c r="C449" s="7"/>
      <c r="D449" s="7"/>
      <c r="E449" s="7"/>
      <c r="F449" s="7"/>
      <c r="G449" s="8"/>
      <c r="H449" s="7"/>
      <c r="K449" s="6"/>
    </row>
    <row r="450" spans="1:11" x14ac:dyDescent="0.2">
      <c r="A450" s="6"/>
      <c r="B450" s="7"/>
      <c r="C450" s="7"/>
      <c r="D450" s="7"/>
      <c r="E450" s="7"/>
      <c r="F450" s="7"/>
      <c r="G450" s="8"/>
      <c r="K450" s="6"/>
    </row>
    <row r="451" spans="1:11" x14ac:dyDescent="0.2">
      <c r="A451" s="6"/>
      <c r="B451" s="7"/>
      <c r="C451" s="7"/>
      <c r="D451" s="7"/>
      <c r="E451" s="7"/>
      <c r="F451" s="7"/>
      <c r="G451" s="8"/>
      <c r="H451" s="7"/>
      <c r="K451" s="6"/>
    </row>
    <row r="452" spans="1:11" x14ac:dyDescent="0.2">
      <c r="A452" s="6"/>
      <c r="B452" s="7"/>
      <c r="C452" s="7"/>
      <c r="D452" s="7"/>
      <c r="E452" s="7"/>
      <c r="F452" s="7"/>
      <c r="G452" s="8"/>
      <c r="H452" s="7"/>
      <c r="K452" s="6"/>
    </row>
    <row r="453" spans="1:11" x14ac:dyDescent="0.2">
      <c r="A453" s="6"/>
      <c r="B453" s="7"/>
      <c r="C453" s="7"/>
      <c r="D453" s="7"/>
      <c r="E453" s="7"/>
      <c r="F453" s="7"/>
      <c r="G453" s="8"/>
      <c r="H453" s="7"/>
      <c r="K453" s="6"/>
    </row>
    <row r="454" spans="1:11" x14ac:dyDescent="0.2">
      <c r="A454" s="6"/>
      <c r="B454" s="7"/>
      <c r="C454" s="7"/>
      <c r="D454" s="7"/>
      <c r="E454" s="7"/>
      <c r="F454" s="7"/>
      <c r="G454" s="8"/>
      <c r="H454" s="7"/>
      <c r="K454" s="6"/>
    </row>
    <row r="455" spans="1:11" x14ac:dyDescent="0.2">
      <c r="A455" s="6"/>
      <c r="B455" s="7"/>
      <c r="C455" s="7"/>
      <c r="D455" s="7"/>
      <c r="E455" s="7"/>
      <c r="F455" s="7"/>
      <c r="G455" s="8"/>
      <c r="H455" s="7"/>
      <c r="K455" s="6"/>
    </row>
    <row r="456" spans="1:11" x14ac:dyDescent="0.2">
      <c r="A456" s="6"/>
      <c r="B456" s="7"/>
      <c r="C456" s="7"/>
      <c r="D456" s="7"/>
      <c r="E456" s="7"/>
      <c r="F456" s="7"/>
      <c r="G456" s="8"/>
      <c r="H456" s="7"/>
      <c r="K456" s="6"/>
    </row>
    <row r="457" spans="1:11" x14ac:dyDescent="0.2">
      <c r="A457" s="6"/>
      <c r="B457" s="7"/>
      <c r="C457" s="7"/>
      <c r="D457" s="7"/>
      <c r="E457" s="7"/>
      <c r="F457" s="7"/>
      <c r="G457" s="8"/>
      <c r="H457" s="7"/>
      <c r="K457" s="6"/>
    </row>
    <row r="458" spans="1:11" x14ac:dyDescent="0.2">
      <c r="A458" s="6"/>
      <c r="B458" s="7"/>
      <c r="C458" s="7"/>
      <c r="D458" s="7"/>
      <c r="E458" s="7"/>
      <c r="F458" s="7"/>
      <c r="G458" s="8"/>
      <c r="H458" s="7"/>
      <c r="K458" s="6"/>
    </row>
    <row r="459" spans="1:11" x14ac:dyDescent="0.2">
      <c r="A459" s="6"/>
      <c r="B459" s="7"/>
      <c r="C459" s="7"/>
      <c r="D459" s="7"/>
      <c r="E459" s="7"/>
      <c r="F459" s="7"/>
      <c r="G459" s="8"/>
      <c r="H459" s="7"/>
      <c r="K459" s="6"/>
    </row>
    <row r="460" spans="1:11" x14ac:dyDescent="0.2">
      <c r="A460" s="6"/>
      <c r="B460" s="7"/>
      <c r="C460" s="7"/>
      <c r="D460" s="7"/>
      <c r="E460" s="7"/>
      <c r="F460" s="7"/>
      <c r="G460" s="8"/>
      <c r="H460" s="7"/>
      <c r="K460" s="6"/>
    </row>
    <row r="461" spans="1:11" x14ac:dyDescent="0.2">
      <c r="A461" s="6"/>
      <c r="B461" s="7"/>
      <c r="C461" s="7"/>
      <c r="D461" s="7"/>
      <c r="E461" s="7"/>
      <c r="F461" s="7"/>
      <c r="G461" s="8"/>
      <c r="H461" s="7"/>
      <c r="K461" s="6"/>
    </row>
    <row r="462" spans="1:11" x14ac:dyDescent="0.2">
      <c r="A462" s="6"/>
      <c r="B462" s="7"/>
      <c r="C462" s="7"/>
      <c r="D462" s="7"/>
      <c r="E462" s="7"/>
      <c r="F462" s="7"/>
      <c r="G462" s="8"/>
      <c r="H462" s="7"/>
      <c r="K462" s="6"/>
    </row>
    <row r="463" spans="1:11" x14ac:dyDescent="0.2">
      <c r="A463" s="6"/>
      <c r="B463" s="7"/>
      <c r="C463" s="7"/>
      <c r="D463" s="7"/>
      <c r="E463" s="7"/>
      <c r="F463" s="7"/>
      <c r="G463" s="8"/>
      <c r="H463" s="7"/>
      <c r="K463" s="6"/>
    </row>
    <row r="464" spans="1:11" x14ac:dyDescent="0.2">
      <c r="A464" s="6"/>
      <c r="B464" s="7"/>
      <c r="C464" s="7"/>
      <c r="D464" s="7"/>
      <c r="E464" s="7"/>
      <c r="F464" s="7"/>
      <c r="G464" s="8"/>
      <c r="H464" s="7"/>
      <c r="K464" s="6"/>
    </row>
    <row r="465" spans="1:11" x14ac:dyDescent="0.2">
      <c r="A465" s="6"/>
      <c r="B465" s="7"/>
      <c r="C465" s="7"/>
      <c r="D465" s="7"/>
      <c r="E465" s="7"/>
      <c r="F465" s="7"/>
      <c r="G465" s="8"/>
      <c r="H465" s="7"/>
      <c r="K465" s="6"/>
    </row>
    <row r="466" spans="1:11" x14ac:dyDescent="0.2">
      <c r="A466" s="6"/>
      <c r="B466" s="7"/>
      <c r="C466" s="7"/>
      <c r="D466" s="7"/>
      <c r="E466" s="7"/>
      <c r="F466" s="7"/>
      <c r="G466" s="8"/>
      <c r="H466" s="7"/>
      <c r="K466" s="6"/>
    </row>
    <row r="467" spans="1:11" x14ac:dyDescent="0.2">
      <c r="A467" s="6"/>
      <c r="B467" s="7"/>
      <c r="C467" s="7"/>
      <c r="D467" s="7"/>
      <c r="E467" s="7"/>
      <c r="F467" s="7"/>
      <c r="G467" s="8"/>
      <c r="H467" s="7"/>
      <c r="K467" s="6"/>
    </row>
    <row r="468" spans="1:11" x14ac:dyDescent="0.2">
      <c r="A468" s="6"/>
      <c r="B468" s="7"/>
      <c r="C468" s="7"/>
      <c r="D468" s="7"/>
      <c r="E468" s="7"/>
      <c r="F468" s="7"/>
      <c r="G468" s="8"/>
      <c r="H468" s="7"/>
      <c r="K468" s="6"/>
    </row>
    <row r="469" spans="1:11" x14ac:dyDescent="0.2">
      <c r="A469" s="6"/>
      <c r="B469" s="7"/>
      <c r="C469" s="7"/>
      <c r="D469" s="7"/>
      <c r="E469" s="7"/>
      <c r="F469" s="7"/>
      <c r="G469" s="8"/>
      <c r="H469" s="7"/>
      <c r="K469" s="6"/>
    </row>
    <row r="470" spans="1:11" x14ac:dyDescent="0.2">
      <c r="A470" s="6"/>
      <c r="B470" s="7"/>
      <c r="C470" s="7"/>
      <c r="D470" s="7"/>
      <c r="E470" s="7"/>
      <c r="F470" s="7"/>
      <c r="G470" s="8"/>
      <c r="H470" s="7"/>
      <c r="K470" s="6"/>
    </row>
    <row r="471" spans="1:11" x14ac:dyDescent="0.2">
      <c r="A471" s="6"/>
      <c r="B471" s="7"/>
      <c r="C471" s="7"/>
      <c r="D471" s="7"/>
      <c r="E471" s="7"/>
      <c r="F471" s="7"/>
      <c r="G471" s="8"/>
      <c r="H471" s="7"/>
      <c r="K471" s="6"/>
    </row>
    <row r="472" spans="1:11" x14ac:dyDescent="0.2">
      <c r="A472" s="6"/>
      <c r="B472" s="7"/>
      <c r="C472" s="7"/>
      <c r="D472" s="7"/>
      <c r="E472" s="7"/>
      <c r="F472" s="7"/>
      <c r="G472" s="8"/>
      <c r="H472" s="7"/>
      <c r="K472" s="6"/>
    </row>
    <row r="473" spans="1:11" x14ac:dyDescent="0.2">
      <c r="A473" s="6"/>
      <c r="B473" s="7"/>
      <c r="C473" s="7"/>
      <c r="D473" s="7"/>
      <c r="E473" s="7"/>
      <c r="F473" s="7"/>
      <c r="G473" s="8"/>
      <c r="H473" s="7"/>
      <c r="K473" s="6"/>
    </row>
    <row r="474" spans="1:11" x14ac:dyDescent="0.2">
      <c r="A474" s="6"/>
      <c r="B474" s="7"/>
      <c r="C474" s="7"/>
      <c r="D474" s="7"/>
      <c r="E474" s="7"/>
      <c r="F474" s="7"/>
      <c r="G474" s="8"/>
      <c r="H474" s="7"/>
      <c r="K474" s="6"/>
    </row>
    <row r="475" spans="1:11" x14ac:dyDescent="0.2">
      <c r="A475" s="6"/>
      <c r="B475" s="7"/>
      <c r="C475" s="7"/>
      <c r="D475" s="7"/>
      <c r="E475" s="7"/>
      <c r="F475" s="7"/>
      <c r="G475" s="8"/>
      <c r="H475" s="7"/>
      <c r="K475" s="6"/>
    </row>
    <row r="476" spans="1:11" x14ac:dyDescent="0.2">
      <c r="A476" s="6"/>
      <c r="B476" s="7"/>
      <c r="C476" s="7"/>
      <c r="D476" s="7"/>
      <c r="E476" s="7"/>
      <c r="F476" s="7"/>
      <c r="G476" s="8"/>
      <c r="H476" s="7"/>
      <c r="K476" s="6"/>
    </row>
    <row r="477" spans="1:11" x14ac:dyDescent="0.2">
      <c r="A477" s="6"/>
      <c r="B477" s="7"/>
      <c r="C477" s="7"/>
      <c r="D477" s="7"/>
      <c r="E477" s="7"/>
      <c r="F477" s="7"/>
      <c r="G477" s="8"/>
      <c r="H477" s="7"/>
      <c r="K477" s="6"/>
    </row>
    <row r="478" spans="1:11" x14ac:dyDescent="0.2">
      <c r="A478" s="6"/>
      <c r="B478" s="7"/>
      <c r="C478" s="7"/>
      <c r="D478" s="7"/>
      <c r="E478" s="7"/>
      <c r="F478" s="7"/>
      <c r="G478" s="8"/>
      <c r="H478" s="7"/>
      <c r="K478" s="6"/>
    </row>
    <row r="479" spans="1:11" x14ac:dyDescent="0.2">
      <c r="A479" s="6"/>
      <c r="B479" s="7"/>
      <c r="C479" s="7"/>
      <c r="D479" s="7"/>
      <c r="E479" s="7"/>
      <c r="F479" s="7"/>
      <c r="G479" s="8"/>
      <c r="H479" s="7"/>
      <c r="K479" s="6"/>
    </row>
    <row r="480" spans="1:11" x14ac:dyDescent="0.2">
      <c r="A480" s="6"/>
      <c r="B480" s="7"/>
      <c r="C480" s="7"/>
      <c r="D480" s="7"/>
      <c r="E480" s="7"/>
      <c r="F480" s="7"/>
      <c r="G480" s="8"/>
      <c r="H480" s="7"/>
      <c r="K480" s="6"/>
    </row>
    <row r="481" spans="1:11" x14ac:dyDescent="0.2">
      <c r="A481" s="6"/>
      <c r="B481" s="7"/>
      <c r="C481" s="7"/>
      <c r="D481" s="7"/>
      <c r="E481" s="7"/>
      <c r="F481" s="7"/>
      <c r="G481" s="8"/>
      <c r="H481" s="7"/>
      <c r="K481" s="6"/>
    </row>
    <row r="482" spans="1:11" x14ac:dyDescent="0.2">
      <c r="A482" s="6"/>
      <c r="B482" s="7"/>
      <c r="C482" s="7"/>
      <c r="D482" s="7"/>
      <c r="E482" s="7"/>
      <c r="F482" s="7"/>
      <c r="G482" s="8"/>
      <c r="H482" s="7"/>
      <c r="K482" s="6"/>
    </row>
    <row r="483" spans="1:11" x14ac:dyDescent="0.2">
      <c r="A483" s="6"/>
      <c r="B483" s="7"/>
      <c r="C483" s="7"/>
      <c r="D483" s="7"/>
      <c r="E483" s="7"/>
      <c r="F483" s="7"/>
      <c r="G483" s="8"/>
      <c r="H483" s="7"/>
      <c r="K483" s="6"/>
    </row>
    <row r="484" spans="1:11" x14ac:dyDescent="0.2">
      <c r="A484" s="6"/>
      <c r="B484" s="7"/>
      <c r="C484" s="7"/>
      <c r="D484" s="7"/>
      <c r="E484" s="7"/>
      <c r="F484" s="7"/>
      <c r="G484" s="8"/>
      <c r="H484" s="7"/>
      <c r="K484" s="6"/>
    </row>
    <row r="485" spans="1:11" x14ac:dyDescent="0.2">
      <c r="A485" s="6"/>
      <c r="B485" s="7"/>
      <c r="C485" s="7"/>
      <c r="D485" s="7"/>
      <c r="E485" s="7"/>
      <c r="F485" s="7"/>
      <c r="G485" s="8"/>
      <c r="H485" s="7"/>
      <c r="K485" s="6"/>
    </row>
    <row r="486" spans="1:11" x14ac:dyDescent="0.2">
      <c r="A486" s="6"/>
      <c r="B486" s="7"/>
      <c r="C486" s="7"/>
      <c r="D486" s="7"/>
      <c r="E486" s="7"/>
      <c r="F486" s="7"/>
      <c r="G486" s="8"/>
      <c r="H486" s="7"/>
      <c r="K486" s="6"/>
    </row>
    <row r="487" spans="1:11" x14ac:dyDescent="0.2">
      <c r="A487" s="6"/>
      <c r="B487" s="7"/>
      <c r="C487" s="7"/>
      <c r="D487" s="7"/>
      <c r="E487" s="7"/>
      <c r="F487" s="7"/>
      <c r="G487" s="8"/>
      <c r="H487" s="7"/>
      <c r="K487" s="6"/>
    </row>
    <row r="488" spans="1:11" x14ac:dyDescent="0.2">
      <c r="A488" s="6"/>
      <c r="B488" s="7"/>
      <c r="C488" s="7"/>
      <c r="D488" s="7"/>
      <c r="E488" s="7"/>
      <c r="F488" s="7"/>
      <c r="G488" s="8"/>
      <c r="H488" s="7"/>
      <c r="K488" s="6"/>
    </row>
    <row r="489" spans="1:11" x14ac:dyDescent="0.2">
      <c r="A489" s="6"/>
      <c r="B489" s="7"/>
      <c r="C489" s="7"/>
      <c r="D489" s="7"/>
      <c r="E489" s="7"/>
      <c r="F489" s="7"/>
      <c r="G489" s="8"/>
      <c r="H489" s="7"/>
      <c r="K489" s="6"/>
    </row>
    <row r="490" spans="1:11" x14ac:dyDescent="0.2">
      <c r="A490" s="6"/>
      <c r="B490" s="7"/>
      <c r="C490" s="7"/>
      <c r="D490" s="7"/>
      <c r="E490" s="7"/>
      <c r="F490" s="7"/>
      <c r="G490" s="8"/>
      <c r="H490" s="7"/>
      <c r="K490" s="6"/>
    </row>
    <row r="491" spans="1:11" x14ac:dyDescent="0.2">
      <c r="A491" s="6"/>
      <c r="B491" s="7"/>
      <c r="C491" s="7"/>
      <c r="D491" s="7"/>
      <c r="E491" s="7"/>
      <c r="F491" s="7"/>
      <c r="G491" s="8"/>
      <c r="H491" s="7"/>
      <c r="K491" s="6"/>
    </row>
    <row r="492" spans="1:11" x14ac:dyDescent="0.2">
      <c r="A492" s="6"/>
      <c r="B492" s="7"/>
      <c r="C492" s="7"/>
      <c r="D492" s="7"/>
      <c r="E492" s="7"/>
      <c r="F492" s="7"/>
      <c r="G492" s="8"/>
      <c r="H492" s="7"/>
      <c r="K492" s="6"/>
    </row>
    <row r="493" spans="1:11" x14ac:dyDescent="0.2">
      <c r="A493" s="6"/>
      <c r="B493" s="7"/>
      <c r="C493" s="7"/>
      <c r="D493" s="7"/>
      <c r="E493" s="7"/>
      <c r="F493" s="7"/>
      <c r="G493" s="8"/>
      <c r="H493" s="7"/>
      <c r="K493" s="6"/>
    </row>
    <row r="494" spans="1:11" x14ac:dyDescent="0.2">
      <c r="A494" s="6"/>
      <c r="B494" s="7"/>
      <c r="C494" s="7"/>
      <c r="D494" s="7"/>
      <c r="E494" s="7"/>
      <c r="F494" s="7"/>
      <c r="G494" s="8"/>
      <c r="H494" s="7"/>
      <c r="K494" s="6"/>
    </row>
    <row r="495" spans="1:11" x14ac:dyDescent="0.2">
      <c r="A495" s="6"/>
      <c r="B495" s="7"/>
      <c r="C495" s="7"/>
      <c r="D495" s="7"/>
      <c r="E495" s="7"/>
      <c r="F495" s="7"/>
      <c r="G495" s="8"/>
      <c r="H495" s="7"/>
      <c r="K495" s="6"/>
    </row>
    <row r="496" spans="1:11" x14ac:dyDescent="0.2">
      <c r="A496" s="6"/>
      <c r="B496" s="7"/>
      <c r="C496" s="7"/>
      <c r="D496" s="7"/>
      <c r="E496" s="7"/>
      <c r="F496" s="7"/>
      <c r="G496" s="8"/>
      <c r="H496" s="7"/>
      <c r="K496" s="6"/>
    </row>
    <row r="497" spans="1:11" x14ac:dyDescent="0.2">
      <c r="A497" s="6"/>
      <c r="B497" s="7"/>
      <c r="C497" s="7"/>
      <c r="D497" s="7"/>
      <c r="E497" s="7"/>
      <c r="F497" s="7"/>
      <c r="G497" s="8"/>
      <c r="H497" s="7"/>
      <c r="K497" s="6"/>
    </row>
    <row r="498" spans="1:11" x14ac:dyDescent="0.2">
      <c r="A498" s="6"/>
      <c r="B498" s="7"/>
      <c r="C498" s="7"/>
      <c r="D498" s="7"/>
      <c r="E498" s="7"/>
      <c r="F498" s="7"/>
      <c r="G498" s="8"/>
      <c r="H498" s="7"/>
      <c r="K498" s="6"/>
    </row>
    <row r="499" spans="1:11" x14ac:dyDescent="0.2">
      <c r="A499" s="6"/>
      <c r="B499" s="7"/>
      <c r="C499" s="7"/>
      <c r="D499" s="7"/>
      <c r="E499" s="7"/>
      <c r="F499" s="7"/>
      <c r="G499" s="8"/>
      <c r="H499" s="7"/>
      <c r="K499" s="6"/>
    </row>
    <row r="500" spans="1:11" x14ac:dyDescent="0.2">
      <c r="A500" s="6"/>
      <c r="B500" s="7"/>
      <c r="H500" s="7"/>
      <c r="K500" s="6"/>
    </row>
    <row r="501" spans="1:11" x14ac:dyDescent="0.2">
      <c r="A501" s="6"/>
      <c r="B501" s="7"/>
      <c r="C501" s="7"/>
      <c r="D501" s="7"/>
      <c r="E501" s="7"/>
      <c r="F501" s="7"/>
      <c r="G501" s="8"/>
      <c r="H501" s="7"/>
      <c r="K501" s="6"/>
    </row>
    <row r="502" spans="1:11" x14ac:dyDescent="0.2">
      <c r="A502" s="6"/>
      <c r="B502" s="7"/>
      <c r="C502" s="7"/>
      <c r="D502" s="7"/>
      <c r="E502" s="7"/>
      <c r="F502" s="7"/>
      <c r="G502" s="8"/>
      <c r="H502" s="7"/>
      <c r="K502" s="6"/>
    </row>
    <row r="503" spans="1:11" x14ac:dyDescent="0.2">
      <c r="A503" s="6"/>
      <c r="B503" s="7"/>
      <c r="C503" s="7"/>
      <c r="D503" s="7"/>
      <c r="E503" s="7"/>
      <c r="F503" s="7"/>
      <c r="G503" s="8"/>
      <c r="H503" s="7"/>
      <c r="K503" s="6"/>
    </row>
    <row r="504" spans="1:11" x14ac:dyDescent="0.2">
      <c r="A504" s="6"/>
      <c r="B504" s="7"/>
      <c r="C504" s="7"/>
      <c r="D504" s="7"/>
      <c r="E504" s="7"/>
      <c r="F504" s="7"/>
      <c r="G504" s="8"/>
      <c r="H504" s="7"/>
      <c r="K504" s="6"/>
    </row>
    <row r="505" spans="1:11" x14ac:dyDescent="0.2">
      <c r="A505" s="6"/>
      <c r="B505" s="7"/>
      <c r="C505" s="7"/>
      <c r="D505" s="7"/>
      <c r="E505" s="7"/>
      <c r="F505" s="7"/>
      <c r="G505" s="8"/>
      <c r="H505" s="7"/>
      <c r="K505" s="6"/>
    </row>
    <row r="506" spans="1:11" x14ac:dyDescent="0.2">
      <c r="A506" s="6"/>
      <c r="B506" s="7"/>
      <c r="C506" s="7"/>
      <c r="D506" s="7"/>
      <c r="E506" s="7"/>
      <c r="F506" s="7"/>
      <c r="G506" s="8"/>
      <c r="H506" s="7"/>
      <c r="K506" s="6"/>
    </row>
    <row r="507" spans="1:11" x14ac:dyDescent="0.2">
      <c r="A507" s="6"/>
      <c r="B507" s="7"/>
      <c r="C507" s="7"/>
      <c r="D507" s="7"/>
      <c r="E507" s="7"/>
      <c r="F507" s="7"/>
      <c r="G507" s="8"/>
      <c r="H507" s="7"/>
      <c r="K507" s="6"/>
    </row>
    <row r="508" spans="1:11" x14ac:dyDescent="0.2">
      <c r="A508" s="6"/>
      <c r="B508" s="7"/>
      <c r="C508" s="7"/>
      <c r="D508" s="7"/>
      <c r="E508" s="7"/>
      <c r="F508" s="7"/>
      <c r="G508" s="8"/>
      <c r="H508" s="7"/>
      <c r="K508" s="6"/>
    </row>
    <row r="509" spans="1:11" x14ac:dyDescent="0.2">
      <c r="A509" s="6"/>
      <c r="B509" s="7"/>
      <c r="C509" s="7"/>
      <c r="D509" s="7"/>
      <c r="E509" s="7"/>
      <c r="F509" s="7"/>
      <c r="G509" s="8"/>
      <c r="H509" s="7"/>
      <c r="K509" s="6"/>
    </row>
    <row r="510" spans="1:11" x14ac:dyDescent="0.2">
      <c r="A510" s="6"/>
      <c r="B510" s="7"/>
      <c r="C510" s="7"/>
      <c r="D510" s="7"/>
      <c r="E510" s="7"/>
      <c r="F510" s="7"/>
      <c r="G510" s="8"/>
      <c r="H510" s="7"/>
      <c r="K510" s="6"/>
    </row>
    <row r="511" spans="1:11" x14ac:dyDescent="0.2">
      <c r="A511" s="6"/>
      <c r="B511" s="7"/>
      <c r="C511" s="7"/>
      <c r="D511" s="7"/>
      <c r="E511" s="7"/>
      <c r="F511" s="7"/>
      <c r="G511" s="8"/>
      <c r="H511" s="7"/>
      <c r="K511" s="6"/>
    </row>
    <row r="512" spans="1:11" x14ac:dyDescent="0.2">
      <c r="A512" s="6"/>
      <c r="B512" s="7"/>
      <c r="C512" s="7"/>
      <c r="D512" s="7"/>
      <c r="E512" s="7"/>
      <c r="F512" s="7"/>
      <c r="G512" s="8"/>
      <c r="K512" s="6"/>
    </row>
    <row r="513" spans="1:11" x14ac:dyDescent="0.2">
      <c r="A513" s="6"/>
      <c r="B513" s="7"/>
      <c r="C513" s="7"/>
      <c r="D513" s="7"/>
      <c r="E513" s="7"/>
      <c r="F513" s="7"/>
      <c r="G513" s="8"/>
      <c r="H513" s="7"/>
      <c r="K513" s="6"/>
    </row>
    <row r="514" spans="1:11" x14ac:dyDescent="0.2">
      <c r="A514" s="6"/>
      <c r="B514" s="7"/>
      <c r="C514" s="7"/>
      <c r="D514" s="7"/>
      <c r="E514" s="7"/>
      <c r="F514" s="7"/>
      <c r="G514" s="8"/>
      <c r="H514" s="7"/>
      <c r="K514" s="6"/>
    </row>
    <row r="515" spans="1:11" x14ac:dyDescent="0.2">
      <c r="A515" s="6"/>
      <c r="B515" s="7"/>
      <c r="C515" s="7"/>
      <c r="D515" s="7"/>
      <c r="E515" s="7"/>
      <c r="F515" s="7"/>
      <c r="G515" s="8"/>
      <c r="H515" s="7"/>
      <c r="K515" s="6"/>
    </row>
    <row r="516" spans="1:11" x14ac:dyDescent="0.2">
      <c r="A516" s="6"/>
      <c r="B516" s="7"/>
      <c r="C516" s="7"/>
      <c r="D516" s="7"/>
      <c r="E516" s="7"/>
      <c r="F516" s="7"/>
      <c r="G516" s="8"/>
      <c r="H516" s="7"/>
      <c r="K516" s="6"/>
    </row>
    <row r="517" spans="1:11" x14ac:dyDescent="0.2">
      <c r="A517" s="6"/>
      <c r="B517" s="7"/>
      <c r="C517" s="7"/>
      <c r="D517" s="7"/>
      <c r="E517" s="7"/>
      <c r="F517" s="7"/>
      <c r="G517" s="8"/>
      <c r="H517" s="7"/>
      <c r="K517" s="6"/>
    </row>
    <row r="518" spans="1:11" x14ac:dyDescent="0.2">
      <c r="A518" s="6"/>
      <c r="B518" s="7"/>
      <c r="C518" s="7"/>
      <c r="D518" s="7"/>
      <c r="E518" s="7"/>
      <c r="F518" s="7"/>
      <c r="G518" s="8"/>
      <c r="H518" s="7"/>
      <c r="K518" s="6"/>
    </row>
    <row r="519" spans="1:11" x14ac:dyDescent="0.2">
      <c r="A519" s="6"/>
      <c r="B519" s="7"/>
      <c r="C519" s="7"/>
      <c r="D519" s="7"/>
      <c r="E519" s="7"/>
      <c r="F519" s="7"/>
      <c r="G519" s="8"/>
      <c r="H519" s="7"/>
      <c r="K519" s="6"/>
    </row>
    <row r="520" spans="1:11" x14ac:dyDescent="0.2">
      <c r="A520" s="6"/>
      <c r="B520" s="7"/>
      <c r="C520" s="7"/>
      <c r="D520" s="7"/>
      <c r="E520" s="7"/>
      <c r="F520" s="7"/>
      <c r="G520" s="8"/>
      <c r="H520" s="7"/>
      <c r="K520" s="6"/>
    </row>
    <row r="521" spans="1:11" x14ac:dyDescent="0.2">
      <c r="A521" s="6"/>
      <c r="B521" s="7"/>
      <c r="C521" s="7"/>
      <c r="D521" s="7"/>
      <c r="E521" s="7"/>
      <c r="F521" s="7"/>
      <c r="G521" s="8"/>
      <c r="H521" s="7"/>
      <c r="K521" s="6"/>
    </row>
    <row r="522" spans="1:11" x14ac:dyDescent="0.2">
      <c r="A522" s="6"/>
      <c r="B522" s="7"/>
      <c r="C522" s="7"/>
      <c r="D522" s="7"/>
      <c r="E522" s="7"/>
      <c r="F522" s="7"/>
      <c r="G522" s="8"/>
      <c r="H522" s="7"/>
      <c r="K522" s="6"/>
    </row>
    <row r="523" spans="1:11" x14ac:dyDescent="0.2">
      <c r="A523" s="6"/>
      <c r="B523" s="7"/>
      <c r="C523" s="7"/>
      <c r="D523" s="7"/>
      <c r="E523" s="7"/>
      <c r="F523" s="7"/>
      <c r="G523" s="8"/>
      <c r="H523" s="7"/>
      <c r="K523" s="6"/>
    </row>
    <row r="524" spans="1:11" x14ac:dyDescent="0.2">
      <c r="A524" s="6"/>
      <c r="B524" s="7"/>
      <c r="C524" s="7"/>
      <c r="D524" s="7"/>
      <c r="E524" s="7"/>
      <c r="F524" s="7"/>
      <c r="G524" s="8"/>
      <c r="H524" s="7"/>
      <c r="K524" s="6"/>
    </row>
    <row r="525" spans="1:11" x14ac:dyDescent="0.2">
      <c r="A525" s="6"/>
      <c r="B525" s="7"/>
      <c r="C525" s="7"/>
      <c r="D525" s="7"/>
      <c r="E525" s="7"/>
      <c r="F525" s="7"/>
      <c r="G525" s="8"/>
      <c r="H525" s="7"/>
      <c r="K525" s="6"/>
    </row>
    <row r="526" spans="1:11" x14ac:dyDescent="0.2">
      <c r="A526" s="6"/>
      <c r="B526" s="7"/>
      <c r="C526" s="7"/>
      <c r="D526" s="7"/>
      <c r="E526" s="7"/>
      <c r="F526" s="7"/>
      <c r="G526" s="8"/>
      <c r="H526" s="7"/>
      <c r="K526" s="6"/>
    </row>
    <row r="527" spans="1:11" x14ac:dyDescent="0.2">
      <c r="A527" s="6"/>
      <c r="B527" s="7"/>
      <c r="C527" s="7"/>
      <c r="D527" s="7"/>
      <c r="E527" s="7"/>
      <c r="F527" s="7"/>
      <c r="G527" s="8"/>
      <c r="H527" s="7"/>
      <c r="K527" s="6"/>
    </row>
    <row r="528" spans="1:11" x14ac:dyDescent="0.2">
      <c r="A528" s="6"/>
      <c r="B528" s="7"/>
      <c r="C528" s="7"/>
      <c r="D528" s="7"/>
      <c r="E528" s="7"/>
      <c r="F528" s="7"/>
      <c r="G528" s="8"/>
      <c r="H528" s="7"/>
      <c r="K528" s="6"/>
    </row>
    <row r="529" spans="1:11" x14ac:dyDescent="0.2">
      <c r="A529" s="6"/>
      <c r="B529" s="7"/>
      <c r="C529" s="7"/>
      <c r="D529" s="7"/>
      <c r="E529" s="7"/>
      <c r="F529" s="7"/>
      <c r="G529" s="8"/>
      <c r="H529" s="7"/>
      <c r="K529" s="6"/>
    </row>
    <row r="530" spans="1:11" x14ac:dyDescent="0.2">
      <c r="A530" s="6"/>
      <c r="B530" s="7"/>
      <c r="C530" s="7"/>
      <c r="D530" s="7"/>
      <c r="E530" s="7"/>
      <c r="F530" s="7"/>
      <c r="G530" s="8"/>
      <c r="H530" s="7"/>
      <c r="K530" s="6"/>
    </row>
    <row r="531" spans="1:11" x14ac:dyDescent="0.2">
      <c r="A531" s="6"/>
      <c r="B531" s="7"/>
      <c r="C531" s="7"/>
      <c r="D531" s="7"/>
      <c r="E531" s="7"/>
      <c r="F531" s="7"/>
      <c r="G531" s="8"/>
      <c r="H531" s="7"/>
      <c r="K531" s="6"/>
    </row>
    <row r="532" spans="1:11" x14ac:dyDescent="0.2">
      <c r="A532" s="6"/>
      <c r="B532" s="7"/>
      <c r="C532" s="7"/>
      <c r="D532" s="7"/>
      <c r="E532" s="7"/>
      <c r="F532" s="7"/>
      <c r="G532" s="8"/>
      <c r="H532" s="7"/>
      <c r="K532" s="6"/>
    </row>
    <row r="533" spans="1:11" x14ac:dyDescent="0.2">
      <c r="A533" s="6"/>
      <c r="B533" s="7"/>
      <c r="C533" s="7"/>
      <c r="D533" s="7"/>
      <c r="E533" s="7"/>
      <c r="F533" s="7"/>
      <c r="G533" s="8"/>
      <c r="H533" s="7"/>
      <c r="K533" s="6"/>
    </row>
    <row r="534" spans="1:11" x14ac:dyDescent="0.2">
      <c r="A534" s="6"/>
      <c r="B534" s="7"/>
      <c r="C534" s="7"/>
      <c r="D534" s="7"/>
      <c r="E534" s="7"/>
      <c r="F534" s="7"/>
      <c r="G534" s="8"/>
      <c r="H534" s="7"/>
      <c r="K534" s="6"/>
    </row>
    <row r="535" spans="1:11" x14ac:dyDescent="0.2">
      <c r="A535" s="6"/>
      <c r="B535" s="7"/>
      <c r="C535" s="7"/>
      <c r="D535" s="7"/>
      <c r="E535" s="7"/>
      <c r="F535" s="7"/>
      <c r="G535" s="8"/>
      <c r="H535" s="7"/>
      <c r="K535" s="6"/>
    </row>
    <row r="536" spans="1:11" x14ac:dyDescent="0.2">
      <c r="A536" s="6"/>
      <c r="B536" s="7"/>
      <c r="C536" s="7"/>
      <c r="D536" s="7"/>
      <c r="E536" s="7"/>
      <c r="F536" s="7"/>
      <c r="G536" s="8"/>
      <c r="H536" s="7"/>
      <c r="K536" s="6"/>
    </row>
    <row r="537" spans="1:11" x14ac:dyDescent="0.2">
      <c r="A537" s="6"/>
      <c r="B537" s="7"/>
      <c r="C537" s="7"/>
      <c r="D537" s="7"/>
      <c r="E537" s="7"/>
      <c r="F537" s="7"/>
      <c r="G537" s="8"/>
      <c r="H537" s="7"/>
      <c r="K537" s="6"/>
    </row>
    <row r="538" spans="1:11" x14ac:dyDescent="0.2">
      <c r="A538" s="6"/>
      <c r="B538" s="7"/>
      <c r="C538" s="7"/>
      <c r="D538" s="7"/>
      <c r="E538" s="7"/>
      <c r="F538" s="7"/>
      <c r="G538" s="8"/>
      <c r="H538" s="7"/>
      <c r="K538" s="6"/>
    </row>
    <row r="539" spans="1:11" x14ac:dyDescent="0.2">
      <c r="A539" s="6"/>
      <c r="B539" s="7"/>
      <c r="C539" s="7"/>
      <c r="D539" s="7"/>
      <c r="E539" s="7"/>
      <c r="F539" s="7"/>
      <c r="G539" s="8"/>
      <c r="H539" s="7"/>
      <c r="K539" s="6"/>
    </row>
    <row r="540" spans="1:11" x14ac:dyDescent="0.2">
      <c r="A540" s="6"/>
      <c r="B540" s="7"/>
      <c r="C540" s="7"/>
      <c r="D540" s="7"/>
      <c r="E540" s="7"/>
      <c r="F540" s="7"/>
      <c r="G540" s="8"/>
      <c r="H540" s="7"/>
      <c r="K540" s="6"/>
    </row>
    <row r="541" spans="1:11" x14ac:dyDescent="0.2">
      <c r="A541" s="6"/>
      <c r="B541" s="7"/>
      <c r="C541" s="7"/>
      <c r="D541" s="7"/>
      <c r="E541" s="7"/>
      <c r="F541" s="7"/>
      <c r="G541" s="8"/>
      <c r="H541" s="7"/>
      <c r="K541" s="6"/>
    </row>
    <row r="542" spans="1:11" x14ac:dyDescent="0.2">
      <c r="A542" s="6"/>
      <c r="B542" s="7"/>
      <c r="C542" s="7"/>
      <c r="D542" s="7"/>
      <c r="E542" s="7"/>
      <c r="F542" s="7"/>
      <c r="G542" s="8"/>
      <c r="H542" s="7"/>
      <c r="K542" s="6"/>
    </row>
    <row r="543" spans="1:11" x14ac:dyDescent="0.2">
      <c r="A543" s="6"/>
      <c r="B543" s="7"/>
      <c r="C543" s="7"/>
      <c r="D543" s="7"/>
      <c r="E543" s="7"/>
      <c r="F543" s="7"/>
      <c r="G543" s="8"/>
      <c r="H543" s="7"/>
      <c r="K543" s="6"/>
    </row>
    <row r="544" spans="1:11" x14ac:dyDescent="0.2">
      <c r="A544" s="6"/>
      <c r="B544" s="7"/>
      <c r="C544" s="7"/>
      <c r="D544" s="7"/>
      <c r="E544" s="7"/>
      <c r="F544" s="7"/>
      <c r="G544" s="8"/>
      <c r="H544" s="7"/>
      <c r="K544" s="6"/>
    </row>
    <row r="545" spans="1:11" x14ac:dyDescent="0.2">
      <c r="A545" s="6"/>
      <c r="B545" s="7"/>
      <c r="C545" s="7"/>
      <c r="D545" s="7"/>
      <c r="E545" s="7"/>
      <c r="F545" s="7"/>
      <c r="G545" s="8"/>
      <c r="H545" s="7"/>
      <c r="K545" s="6"/>
    </row>
    <row r="546" spans="1:11" x14ac:dyDescent="0.2">
      <c r="A546" s="6"/>
      <c r="B546" s="7"/>
      <c r="C546" s="7"/>
      <c r="D546" s="7"/>
      <c r="E546" s="7"/>
      <c r="F546" s="7"/>
      <c r="G546" s="8"/>
      <c r="H546" s="7"/>
      <c r="K546" s="6"/>
    </row>
    <row r="547" spans="1:11" x14ac:dyDescent="0.2">
      <c r="A547" s="6"/>
      <c r="B547" s="7"/>
      <c r="C547" s="7"/>
      <c r="D547" s="7"/>
      <c r="E547" s="7"/>
      <c r="F547" s="7"/>
      <c r="G547" s="8"/>
      <c r="H547" s="7"/>
      <c r="K547" s="6"/>
    </row>
    <row r="548" spans="1:11" x14ac:dyDescent="0.2">
      <c r="A548" s="6"/>
      <c r="B548" s="7"/>
      <c r="C548" s="7"/>
      <c r="D548" s="7"/>
      <c r="E548" s="7"/>
      <c r="F548" s="7"/>
      <c r="G548" s="8"/>
      <c r="H548" s="7"/>
      <c r="K548" s="6"/>
    </row>
    <row r="549" spans="1:11" x14ac:dyDescent="0.2">
      <c r="A549" s="6"/>
      <c r="B549" s="7"/>
      <c r="C549" s="7"/>
      <c r="D549" s="7"/>
      <c r="E549" s="7"/>
      <c r="F549" s="7"/>
      <c r="G549" s="8"/>
      <c r="H549" s="7"/>
      <c r="K549" s="6"/>
    </row>
    <row r="550" spans="1:11" x14ac:dyDescent="0.2">
      <c r="A550" s="6"/>
      <c r="B550" s="7"/>
      <c r="C550" s="7"/>
      <c r="D550" s="7"/>
      <c r="E550" s="7"/>
      <c r="F550" s="7"/>
      <c r="G550" s="8"/>
      <c r="H550" s="7"/>
      <c r="K550" s="6"/>
    </row>
    <row r="551" spans="1:11" x14ac:dyDescent="0.2">
      <c r="A551" s="6"/>
      <c r="B551" s="7"/>
      <c r="C551" s="7"/>
      <c r="D551" s="7"/>
      <c r="E551" s="7"/>
      <c r="F551" s="7"/>
      <c r="G551" s="8"/>
      <c r="H551" s="7"/>
      <c r="K551" s="6"/>
    </row>
    <row r="552" spans="1:11" x14ac:dyDescent="0.2">
      <c r="A552" s="6"/>
      <c r="B552" s="7"/>
      <c r="C552" s="7"/>
      <c r="D552" s="7"/>
      <c r="E552" s="7"/>
      <c r="F552" s="7"/>
      <c r="G552" s="8"/>
      <c r="H552" s="7"/>
      <c r="K552" s="6"/>
    </row>
    <row r="553" spans="1:11" x14ac:dyDescent="0.2">
      <c r="A553" s="6"/>
      <c r="B553" s="7"/>
      <c r="C553" s="7"/>
      <c r="D553" s="7"/>
      <c r="E553" s="7"/>
      <c r="F553" s="7"/>
      <c r="G553" s="8"/>
      <c r="H553" s="7"/>
      <c r="K553" s="6"/>
    </row>
    <row r="554" spans="1:11" x14ac:dyDescent="0.2">
      <c r="A554" s="6"/>
      <c r="B554" s="7"/>
      <c r="C554" s="7"/>
      <c r="D554" s="7"/>
      <c r="E554" s="7"/>
      <c r="F554" s="7"/>
      <c r="G554" s="8"/>
      <c r="H554" s="7"/>
      <c r="K554" s="6"/>
    </row>
    <row r="555" spans="1:11" x14ac:dyDescent="0.2">
      <c r="A555" s="6"/>
      <c r="B555" s="7"/>
      <c r="C555" s="7"/>
      <c r="D555" s="7"/>
      <c r="E555" s="7"/>
      <c r="F555" s="7"/>
      <c r="G555" s="8"/>
      <c r="H555" s="7"/>
      <c r="K555" s="6"/>
    </row>
    <row r="556" spans="1:11" x14ac:dyDescent="0.2">
      <c r="A556" s="6"/>
      <c r="B556" s="7"/>
      <c r="C556" s="7"/>
      <c r="D556" s="7"/>
      <c r="E556" s="7"/>
      <c r="F556" s="7"/>
      <c r="G556" s="8"/>
      <c r="H556" s="7"/>
      <c r="K556" s="6"/>
    </row>
    <row r="557" spans="1:11" x14ac:dyDescent="0.2">
      <c r="A557" s="6"/>
      <c r="B557" s="7"/>
      <c r="C557" s="7"/>
      <c r="D557" s="7"/>
      <c r="E557" s="7"/>
      <c r="F557" s="7"/>
      <c r="G557" s="8"/>
      <c r="H557" s="7"/>
      <c r="K557" s="6"/>
    </row>
    <row r="558" spans="1:11" x14ac:dyDescent="0.2">
      <c r="A558" s="6"/>
      <c r="B558" s="7"/>
      <c r="C558" s="7"/>
      <c r="D558" s="7"/>
      <c r="E558" s="7"/>
      <c r="F558" s="7"/>
      <c r="G558" s="8"/>
      <c r="H558" s="7"/>
      <c r="K558" s="6"/>
    </row>
    <row r="559" spans="1:11" x14ac:dyDescent="0.2">
      <c r="A559" s="6"/>
      <c r="B559" s="7"/>
      <c r="C559" s="7"/>
      <c r="D559" s="7"/>
      <c r="E559" s="7"/>
      <c r="F559" s="7"/>
      <c r="G559" s="8"/>
      <c r="H559" s="7"/>
      <c r="K559" s="6"/>
    </row>
    <row r="560" spans="1:11" x14ac:dyDescent="0.2">
      <c r="A560" s="6"/>
      <c r="B560" s="7"/>
      <c r="C560" s="7"/>
      <c r="D560" s="7"/>
      <c r="E560" s="7"/>
      <c r="F560" s="7"/>
      <c r="G560" s="8"/>
      <c r="H560" s="7"/>
      <c r="K560" s="6"/>
    </row>
    <row r="561" spans="1:11" x14ac:dyDescent="0.2">
      <c r="A561" s="6"/>
      <c r="B561" s="7"/>
      <c r="C561" s="7"/>
      <c r="D561" s="7"/>
      <c r="E561" s="7"/>
      <c r="F561" s="7"/>
      <c r="G561" s="8"/>
      <c r="H561" s="7"/>
      <c r="K561" s="6"/>
    </row>
    <row r="562" spans="1:11" x14ac:dyDescent="0.2">
      <c r="A562" s="6"/>
      <c r="B562" s="7"/>
      <c r="C562" s="7"/>
      <c r="D562" s="7"/>
      <c r="E562" s="7"/>
      <c r="F562" s="7"/>
      <c r="G562" s="8"/>
      <c r="H562" s="7"/>
      <c r="K562" s="6"/>
    </row>
    <row r="563" spans="1:11" x14ac:dyDescent="0.2">
      <c r="A563" s="6"/>
      <c r="B563" s="7"/>
      <c r="C563" s="7"/>
      <c r="D563" s="7"/>
      <c r="E563" s="7"/>
      <c r="F563" s="7"/>
      <c r="G563" s="8"/>
      <c r="H563" s="7"/>
      <c r="K563" s="6"/>
    </row>
    <row r="564" spans="1:11" x14ac:dyDescent="0.2">
      <c r="A564" s="6"/>
      <c r="B564" s="7"/>
      <c r="C564" s="7"/>
      <c r="D564" s="7"/>
      <c r="E564" s="7"/>
      <c r="F564" s="7"/>
      <c r="G564" s="8"/>
      <c r="H564" s="7"/>
      <c r="K564" s="6"/>
    </row>
    <row r="565" spans="1:11" x14ac:dyDescent="0.2">
      <c r="A565" s="6"/>
      <c r="B565" s="7"/>
      <c r="C565" s="7"/>
      <c r="D565" s="7"/>
      <c r="E565" s="7"/>
      <c r="F565" s="7"/>
      <c r="G565" s="8"/>
      <c r="H565" s="7"/>
      <c r="K565" s="6"/>
    </row>
    <row r="566" spans="1:11" x14ac:dyDescent="0.2">
      <c r="A566" s="6"/>
      <c r="B566" s="7"/>
      <c r="C566" s="7"/>
      <c r="D566" s="7"/>
      <c r="E566" s="7"/>
      <c r="F566" s="7"/>
      <c r="G566" s="8"/>
      <c r="H566" s="7"/>
      <c r="K566" s="6"/>
    </row>
    <row r="567" spans="1:11" x14ac:dyDescent="0.2">
      <c r="A567" s="6"/>
      <c r="B567" s="7"/>
      <c r="H567" s="7"/>
      <c r="K567" s="6"/>
    </row>
    <row r="568" spans="1:11" x14ac:dyDescent="0.2">
      <c r="A568" s="6"/>
      <c r="B568" s="7"/>
      <c r="C568" s="7"/>
      <c r="D568" s="7"/>
      <c r="E568" s="7"/>
      <c r="F568" s="7"/>
      <c r="G568" s="8"/>
      <c r="H568" s="7"/>
      <c r="K568" s="6"/>
    </row>
    <row r="569" spans="1:11" x14ac:dyDescent="0.2">
      <c r="A569" s="6"/>
      <c r="B569" s="7"/>
      <c r="C569" s="7"/>
      <c r="D569" s="7"/>
      <c r="E569" s="7"/>
      <c r="F569" s="7"/>
      <c r="G569" s="8"/>
      <c r="H569" s="7"/>
      <c r="K569" s="6"/>
    </row>
    <row r="570" spans="1:11" x14ac:dyDescent="0.2">
      <c r="A570" s="6"/>
      <c r="B570" s="7"/>
      <c r="C570" s="7"/>
      <c r="D570" s="7"/>
      <c r="E570" s="7"/>
      <c r="F570" s="7"/>
      <c r="G570" s="8"/>
      <c r="H570" s="7"/>
      <c r="K570" s="6"/>
    </row>
    <row r="571" spans="1:11" x14ac:dyDescent="0.2">
      <c r="A571" s="6"/>
      <c r="B571" s="7"/>
      <c r="C571" s="7"/>
      <c r="D571" s="7"/>
      <c r="E571" s="7"/>
      <c r="F571" s="7"/>
      <c r="G571" s="8"/>
      <c r="H571" s="7"/>
      <c r="K571" s="6"/>
    </row>
    <row r="572" spans="1:11" x14ac:dyDescent="0.2">
      <c r="A572" s="6"/>
      <c r="B572" s="7"/>
      <c r="C572" s="7"/>
      <c r="D572" s="7"/>
      <c r="E572" s="7"/>
      <c r="F572" s="7"/>
      <c r="G572" s="8"/>
      <c r="H572" s="7"/>
      <c r="K572" s="6"/>
    </row>
    <row r="573" spans="1:11" x14ac:dyDescent="0.2">
      <c r="A573" s="6"/>
      <c r="B573" s="7"/>
      <c r="C573" s="7"/>
      <c r="D573" s="7"/>
      <c r="E573" s="7"/>
      <c r="F573" s="7"/>
      <c r="G573" s="8"/>
      <c r="H573" s="7"/>
      <c r="K573" s="6"/>
    </row>
    <row r="574" spans="1:11" x14ac:dyDescent="0.2">
      <c r="A574" s="6"/>
      <c r="B574" s="7"/>
      <c r="C574" s="7"/>
      <c r="D574" s="7"/>
      <c r="E574" s="7"/>
      <c r="F574" s="7"/>
      <c r="G574" s="8"/>
      <c r="H574" s="7"/>
      <c r="K574" s="6"/>
    </row>
    <row r="575" spans="1:11" x14ac:dyDescent="0.2">
      <c r="A575" s="6"/>
      <c r="B575" s="7"/>
      <c r="C575" s="7"/>
      <c r="D575" s="7"/>
      <c r="E575" s="7"/>
      <c r="F575" s="7"/>
      <c r="G575" s="8"/>
      <c r="H575" s="7"/>
      <c r="K575" s="6"/>
    </row>
    <row r="576" spans="1:11" x14ac:dyDescent="0.2">
      <c r="A576" s="6"/>
      <c r="B576" s="7"/>
      <c r="C576" s="7"/>
      <c r="D576" s="7"/>
      <c r="E576" s="7"/>
      <c r="F576" s="7"/>
      <c r="G576" s="8"/>
      <c r="K576" s="6"/>
    </row>
    <row r="577" spans="1:11" x14ac:dyDescent="0.2">
      <c r="A577" s="6"/>
      <c r="B577" s="7"/>
      <c r="C577" s="7"/>
      <c r="D577" s="7"/>
      <c r="E577" s="7"/>
      <c r="F577" s="7"/>
      <c r="G577" s="8"/>
      <c r="H577" s="7"/>
      <c r="K577" s="6"/>
    </row>
    <row r="578" spans="1:11" x14ac:dyDescent="0.2">
      <c r="A578" s="6"/>
      <c r="B578" s="7"/>
      <c r="C578" s="7"/>
      <c r="D578" s="7"/>
      <c r="E578" s="7"/>
      <c r="F578" s="7"/>
      <c r="G578" s="8"/>
      <c r="H578" s="7"/>
      <c r="K578" s="6"/>
    </row>
    <row r="579" spans="1:11" x14ac:dyDescent="0.2">
      <c r="A579" s="6"/>
      <c r="B579" s="7"/>
      <c r="C579" s="7"/>
      <c r="D579" s="7"/>
      <c r="E579" s="7"/>
      <c r="F579" s="7"/>
      <c r="G579" s="8"/>
      <c r="H579" s="7"/>
      <c r="K579" s="6"/>
    </row>
    <row r="580" spans="1:11" x14ac:dyDescent="0.2">
      <c r="A580" s="6"/>
      <c r="B580" s="7"/>
      <c r="C580" s="7"/>
      <c r="D580" s="7"/>
      <c r="E580" s="7"/>
      <c r="F580" s="7"/>
      <c r="G580" s="8"/>
      <c r="H580" s="7"/>
      <c r="K580" s="6"/>
    </row>
    <row r="581" spans="1:11" x14ac:dyDescent="0.2">
      <c r="A581" s="6"/>
      <c r="B581" s="7"/>
      <c r="C581" s="7"/>
      <c r="D581" s="7"/>
      <c r="E581" s="7"/>
      <c r="F581" s="7"/>
      <c r="G581" s="8"/>
      <c r="H581" s="7"/>
      <c r="K581" s="6"/>
    </row>
    <row r="582" spans="1:11" x14ac:dyDescent="0.2">
      <c r="A582" s="6"/>
      <c r="B582" s="7"/>
      <c r="C582" s="7"/>
      <c r="D582" s="7"/>
      <c r="E582" s="7"/>
      <c r="F582" s="7"/>
      <c r="G582" s="8"/>
      <c r="H582" s="7"/>
      <c r="K582" s="6"/>
    </row>
    <row r="583" spans="1:11" x14ac:dyDescent="0.2">
      <c r="A583" s="6"/>
      <c r="B583" s="7"/>
      <c r="C583" s="7"/>
      <c r="D583" s="7"/>
      <c r="E583" s="7"/>
      <c r="F583" s="7"/>
      <c r="G583" s="8"/>
      <c r="H583" s="7"/>
      <c r="K583" s="6"/>
    </row>
    <row r="584" spans="1:11" x14ac:dyDescent="0.2">
      <c r="A584" s="6"/>
      <c r="B584" s="7"/>
      <c r="C584" s="7"/>
      <c r="D584" s="7"/>
      <c r="E584" s="7"/>
      <c r="F584" s="7"/>
      <c r="G584" s="8"/>
      <c r="H584" s="7"/>
      <c r="K584" s="6"/>
    </row>
    <row r="585" spans="1:11" x14ac:dyDescent="0.2">
      <c r="A585" s="6"/>
      <c r="B585" s="7"/>
      <c r="C585" s="7"/>
      <c r="D585" s="7"/>
      <c r="E585" s="7"/>
      <c r="F585" s="7"/>
      <c r="G585" s="8"/>
      <c r="H585" s="7"/>
      <c r="K585" s="6"/>
    </row>
    <row r="586" spans="1:11" x14ac:dyDescent="0.2">
      <c r="A586" s="6"/>
      <c r="B586" s="7"/>
      <c r="C586" s="7"/>
      <c r="D586" s="7"/>
      <c r="E586" s="7"/>
      <c r="F586" s="7"/>
      <c r="G586" s="8"/>
      <c r="H586" s="7"/>
      <c r="K586" s="6"/>
    </row>
    <row r="587" spans="1:11" x14ac:dyDescent="0.2">
      <c r="A587" s="6"/>
      <c r="B587" s="7"/>
      <c r="C587" s="7"/>
      <c r="D587" s="7"/>
      <c r="E587" s="7"/>
      <c r="F587" s="7"/>
      <c r="G587" s="8"/>
      <c r="H587" s="7"/>
      <c r="K587" s="6"/>
    </row>
    <row r="588" spans="1:11" x14ac:dyDescent="0.2">
      <c r="A588" s="6"/>
      <c r="B588" s="7"/>
      <c r="C588" s="7"/>
      <c r="D588" s="7"/>
      <c r="E588" s="7"/>
      <c r="F588" s="7"/>
      <c r="G588" s="8"/>
      <c r="H588" s="7"/>
      <c r="K588" s="6"/>
    </row>
    <row r="589" spans="1:11" x14ac:dyDescent="0.2">
      <c r="A589" s="6"/>
      <c r="B589" s="7"/>
      <c r="C589" s="7"/>
      <c r="D589" s="7"/>
      <c r="E589" s="7"/>
      <c r="F589" s="7"/>
      <c r="G589" s="8"/>
      <c r="H589" s="7"/>
      <c r="K589" s="6"/>
    </row>
    <row r="590" spans="1:11" x14ac:dyDescent="0.2">
      <c r="A590" s="6"/>
      <c r="B590" s="7"/>
      <c r="C590" s="7"/>
      <c r="D590" s="7"/>
      <c r="E590" s="7"/>
      <c r="F590" s="7"/>
      <c r="G590" s="8"/>
      <c r="H590" s="7"/>
      <c r="K590" s="6"/>
    </row>
    <row r="591" spans="1:11" x14ac:dyDescent="0.2">
      <c r="A591" s="6"/>
      <c r="B591" s="7"/>
      <c r="C591" s="7"/>
      <c r="D591" s="7"/>
      <c r="E591" s="7"/>
      <c r="F591" s="7"/>
      <c r="G591" s="8"/>
      <c r="H591" s="7"/>
      <c r="K591" s="6"/>
    </row>
    <row r="592" spans="1:11" x14ac:dyDescent="0.2">
      <c r="A592" s="6"/>
      <c r="B592" s="7"/>
      <c r="C592" s="7"/>
      <c r="D592" s="7"/>
      <c r="E592" s="7"/>
      <c r="F592" s="7"/>
      <c r="G592" s="8"/>
      <c r="H592" s="7"/>
      <c r="K592" s="6"/>
    </row>
    <row r="593" spans="1:11" x14ac:dyDescent="0.2">
      <c r="A593" s="6"/>
      <c r="B593" s="7"/>
      <c r="C593" s="7"/>
      <c r="D593" s="7"/>
      <c r="E593" s="7"/>
      <c r="F593" s="7"/>
      <c r="G593" s="8"/>
      <c r="H593" s="7"/>
      <c r="K593" s="6"/>
    </row>
    <row r="594" spans="1:11" x14ac:dyDescent="0.2">
      <c r="A594" s="6"/>
      <c r="B594" s="7"/>
      <c r="C594" s="7"/>
      <c r="D594" s="7"/>
      <c r="E594" s="7"/>
      <c r="F594" s="7"/>
      <c r="G594" s="8"/>
      <c r="H594" s="7"/>
      <c r="K594" s="6"/>
    </row>
    <row r="595" spans="1:11" x14ac:dyDescent="0.2">
      <c r="A595" s="6"/>
      <c r="B595" s="7"/>
      <c r="C595" s="7"/>
      <c r="D595" s="7"/>
      <c r="E595" s="7"/>
      <c r="F595" s="7"/>
      <c r="G595" s="8"/>
      <c r="H595" s="7"/>
      <c r="K595" s="6"/>
    </row>
    <row r="596" spans="1:11" x14ac:dyDescent="0.2">
      <c r="A596" s="6"/>
      <c r="B596" s="7"/>
      <c r="C596" s="7"/>
      <c r="D596" s="7"/>
      <c r="E596" s="7"/>
      <c r="F596" s="7"/>
      <c r="G596" s="8"/>
      <c r="H596" s="7"/>
      <c r="K596" s="6"/>
    </row>
    <row r="597" spans="1:11" x14ac:dyDescent="0.2">
      <c r="A597" s="6"/>
      <c r="B597" s="7"/>
      <c r="C597" s="7"/>
      <c r="D597" s="7"/>
      <c r="E597" s="7"/>
      <c r="F597" s="7"/>
      <c r="G597" s="8"/>
      <c r="H597" s="7"/>
      <c r="K597" s="6"/>
    </row>
    <row r="598" spans="1:11" x14ac:dyDescent="0.2">
      <c r="A598" s="6"/>
      <c r="B598" s="7"/>
      <c r="C598" s="7"/>
      <c r="D598" s="7"/>
      <c r="E598" s="7"/>
      <c r="F598" s="7"/>
      <c r="G598" s="8"/>
      <c r="H598" s="7"/>
      <c r="K598" s="6"/>
    </row>
    <row r="599" spans="1:11" x14ac:dyDescent="0.2">
      <c r="A599" s="6"/>
      <c r="B599" s="7"/>
      <c r="C599" s="7"/>
      <c r="D599" s="7"/>
      <c r="E599" s="7"/>
      <c r="F599" s="7"/>
      <c r="G599" s="8"/>
      <c r="H599" s="7"/>
      <c r="K599" s="6"/>
    </row>
    <row r="600" spans="1:11" x14ac:dyDescent="0.2">
      <c r="A600" s="6"/>
      <c r="B600" s="7"/>
      <c r="C600" s="7"/>
      <c r="D600" s="7"/>
      <c r="E600" s="7"/>
      <c r="F600" s="7"/>
      <c r="G600" s="8"/>
      <c r="H600" s="7"/>
      <c r="K600" s="6"/>
    </row>
    <row r="601" spans="1:11" x14ac:dyDescent="0.2">
      <c r="A601" s="6"/>
      <c r="B601" s="7"/>
      <c r="C601" s="7"/>
      <c r="D601" s="7"/>
      <c r="E601" s="7"/>
      <c r="F601" s="7"/>
      <c r="G601" s="8"/>
      <c r="H601" s="7"/>
      <c r="K601" s="6"/>
    </row>
    <row r="602" spans="1:11" x14ac:dyDescent="0.2">
      <c r="A602" s="6"/>
      <c r="B602" s="7"/>
      <c r="C602" s="7"/>
      <c r="D602" s="7"/>
      <c r="E602" s="7"/>
      <c r="F602" s="7"/>
      <c r="G602" s="8"/>
      <c r="H602" s="7"/>
      <c r="K602" s="6"/>
    </row>
    <row r="603" spans="1:11" x14ac:dyDescent="0.2">
      <c r="A603" s="6"/>
      <c r="B603" s="7"/>
      <c r="C603" s="7"/>
      <c r="D603" s="7"/>
      <c r="E603" s="7"/>
      <c r="F603" s="7"/>
      <c r="G603" s="8"/>
      <c r="H603" s="7"/>
      <c r="K603" s="6"/>
    </row>
    <row r="604" spans="1:11" x14ac:dyDescent="0.2">
      <c r="A604" s="6"/>
      <c r="B604" s="7"/>
      <c r="C604" s="7"/>
      <c r="D604" s="7"/>
      <c r="E604" s="7"/>
      <c r="F604" s="7"/>
      <c r="G604" s="8"/>
      <c r="H604" s="7"/>
      <c r="K604" s="6"/>
    </row>
    <row r="605" spans="1:11" x14ac:dyDescent="0.2">
      <c r="A605" s="6"/>
      <c r="B605" s="7"/>
      <c r="C605" s="7"/>
      <c r="D605" s="7"/>
      <c r="E605" s="7"/>
      <c r="F605" s="7"/>
      <c r="G605" s="8"/>
      <c r="H605" s="7"/>
      <c r="K605" s="6"/>
    </row>
    <row r="606" spans="1:11" x14ac:dyDescent="0.2">
      <c r="A606" s="6"/>
      <c r="B606" s="7"/>
      <c r="C606" s="7"/>
      <c r="D606" s="7"/>
      <c r="E606" s="7"/>
      <c r="F606" s="7"/>
      <c r="G606" s="8"/>
      <c r="H606" s="7"/>
      <c r="K606" s="6"/>
    </row>
    <row r="607" spans="1:11" x14ac:dyDescent="0.2">
      <c r="A607" s="6"/>
      <c r="B607" s="7"/>
      <c r="C607" s="7"/>
      <c r="D607" s="7"/>
      <c r="E607" s="7"/>
      <c r="F607" s="7"/>
      <c r="G607" s="8"/>
      <c r="H607" s="7"/>
      <c r="K607" s="6"/>
    </row>
    <row r="608" spans="1:11" x14ac:dyDescent="0.2">
      <c r="A608" s="6"/>
      <c r="B608" s="7"/>
      <c r="C608" s="7"/>
      <c r="D608" s="7"/>
      <c r="E608" s="7"/>
      <c r="F608" s="7"/>
      <c r="G608" s="8"/>
      <c r="H608" s="7"/>
      <c r="K608" s="6"/>
    </row>
    <row r="609" spans="1:11" x14ac:dyDescent="0.2">
      <c r="A609" s="6"/>
      <c r="B609" s="7"/>
      <c r="C609" s="7"/>
      <c r="D609" s="7"/>
      <c r="E609" s="7"/>
      <c r="F609" s="7"/>
      <c r="G609" s="8"/>
      <c r="H609" s="7"/>
      <c r="K609" s="6"/>
    </row>
    <row r="610" spans="1:11" x14ac:dyDescent="0.2">
      <c r="A610" s="6"/>
      <c r="B610" s="7"/>
      <c r="C610" s="7"/>
      <c r="D610" s="7"/>
      <c r="E610" s="7"/>
      <c r="F610" s="7"/>
      <c r="G610" s="8"/>
      <c r="H610" s="7"/>
      <c r="K610" s="6"/>
    </row>
    <row r="611" spans="1:11" x14ac:dyDescent="0.2">
      <c r="A611" s="6"/>
      <c r="B611" s="7"/>
      <c r="C611" s="7"/>
      <c r="D611" s="7"/>
      <c r="E611" s="7"/>
      <c r="F611" s="7"/>
      <c r="G611" s="8"/>
      <c r="H611" s="7"/>
      <c r="K611" s="6"/>
    </row>
    <row r="612" spans="1:11" x14ac:dyDescent="0.2">
      <c r="A612" s="6"/>
      <c r="B612" s="7"/>
      <c r="C612" s="7"/>
      <c r="D612" s="7"/>
      <c r="E612" s="7"/>
      <c r="F612" s="7"/>
      <c r="G612" s="8"/>
      <c r="H612" s="7"/>
      <c r="K612" s="6"/>
    </row>
    <row r="613" spans="1:11" x14ac:dyDescent="0.2">
      <c r="A613" s="6"/>
      <c r="B613" s="7"/>
      <c r="C613" s="7"/>
      <c r="D613" s="7"/>
      <c r="E613" s="7"/>
      <c r="F613" s="7"/>
      <c r="G613" s="8"/>
      <c r="H613" s="7"/>
      <c r="K613" s="6"/>
    </row>
    <row r="614" spans="1:11" x14ac:dyDescent="0.2">
      <c r="A614" s="6"/>
      <c r="B614" s="7"/>
      <c r="C614" s="7"/>
      <c r="D614" s="7"/>
      <c r="E614" s="7"/>
      <c r="F614" s="7"/>
      <c r="G614" s="8"/>
      <c r="H614" s="7"/>
      <c r="K614" s="6"/>
    </row>
    <row r="615" spans="1:11" x14ac:dyDescent="0.2">
      <c r="A615" s="6"/>
      <c r="B615" s="7"/>
      <c r="C615" s="7"/>
      <c r="D615" s="7"/>
      <c r="E615" s="7"/>
      <c r="F615" s="7"/>
      <c r="G615" s="8"/>
      <c r="H615" s="7"/>
      <c r="K615" s="6"/>
    </row>
    <row r="616" spans="1:11" x14ac:dyDescent="0.2">
      <c r="A616" s="6"/>
      <c r="B616" s="7"/>
      <c r="C616" s="7"/>
      <c r="D616" s="7"/>
      <c r="E616" s="7"/>
      <c r="F616" s="7"/>
      <c r="G616" s="8"/>
      <c r="H616" s="7"/>
      <c r="K616" s="6"/>
    </row>
    <row r="617" spans="1:11" x14ac:dyDescent="0.2">
      <c r="A617" s="6"/>
      <c r="B617" s="7"/>
      <c r="C617" s="7"/>
      <c r="D617" s="7"/>
      <c r="E617" s="7"/>
      <c r="F617" s="7"/>
      <c r="G617" s="8"/>
      <c r="H617" s="7"/>
      <c r="K617" s="6"/>
    </row>
    <row r="618" spans="1:11" x14ac:dyDescent="0.2">
      <c r="A618" s="6"/>
      <c r="B618" s="7"/>
      <c r="C618" s="7"/>
      <c r="D618" s="7"/>
      <c r="E618" s="7"/>
      <c r="F618" s="7"/>
      <c r="G618" s="8"/>
      <c r="H618" s="7"/>
      <c r="K618" s="6"/>
    </row>
    <row r="619" spans="1:11" x14ac:dyDescent="0.2">
      <c r="A619" s="6"/>
      <c r="B619" s="7"/>
      <c r="C619" s="7"/>
      <c r="D619" s="7"/>
      <c r="E619" s="7"/>
      <c r="F619" s="7"/>
      <c r="G619" s="8"/>
      <c r="H619" s="7"/>
      <c r="K619" s="6"/>
    </row>
    <row r="620" spans="1:11" x14ac:dyDescent="0.2">
      <c r="A620" s="6"/>
      <c r="B620" s="7"/>
      <c r="C620" s="7"/>
      <c r="D620" s="7"/>
      <c r="E620" s="7"/>
      <c r="F620" s="7"/>
      <c r="G620" s="8"/>
      <c r="H620" s="7"/>
      <c r="K620" s="6"/>
    </row>
    <row r="621" spans="1:11" x14ac:dyDescent="0.2">
      <c r="A621" s="6"/>
      <c r="B621" s="7"/>
      <c r="C621" s="7"/>
      <c r="D621" s="7"/>
      <c r="E621" s="7"/>
      <c r="F621" s="7"/>
      <c r="G621" s="8"/>
      <c r="H621" s="7"/>
      <c r="K621" s="6"/>
    </row>
    <row r="622" spans="1:11" x14ac:dyDescent="0.2">
      <c r="A622" s="6"/>
      <c r="B622" s="7"/>
      <c r="C622" s="7"/>
      <c r="D622" s="7"/>
      <c r="E622" s="7"/>
      <c r="F622" s="7"/>
      <c r="G622" s="8"/>
      <c r="H622" s="7"/>
      <c r="K622" s="6"/>
    </row>
    <row r="623" spans="1:11" x14ac:dyDescent="0.2">
      <c r="A623" s="6"/>
      <c r="B623" s="7"/>
      <c r="C623" s="7"/>
      <c r="D623" s="7"/>
      <c r="E623" s="7"/>
      <c r="F623" s="7"/>
      <c r="G623" s="8"/>
      <c r="H623" s="7"/>
      <c r="K623" s="6"/>
    </row>
    <row r="624" spans="1:11" x14ac:dyDescent="0.2">
      <c r="A624" s="6"/>
      <c r="B624" s="7"/>
      <c r="C624" s="7"/>
      <c r="D624" s="7"/>
      <c r="E624" s="7"/>
      <c r="F624" s="7"/>
      <c r="G624" s="8"/>
      <c r="H624" s="7"/>
      <c r="K624" s="6"/>
    </row>
    <row r="625" spans="1:11" x14ac:dyDescent="0.2">
      <c r="A625" s="6"/>
      <c r="B625" s="7"/>
      <c r="C625" s="7"/>
      <c r="D625" s="7"/>
      <c r="E625" s="7"/>
      <c r="F625" s="7"/>
      <c r="G625" s="8"/>
      <c r="H625" s="7"/>
      <c r="K625" s="6"/>
    </row>
    <row r="626" spans="1:11" x14ac:dyDescent="0.2">
      <c r="A626" s="6"/>
      <c r="B626" s="7"/>
      <c r="C626" s="7"/>
      <c r="D626" s="7"/>
      <c r="E626" s="7"/>
      <c r="F626" s="7"/>
      <c r="G626" s="8"/>
      <c r="H626" s="7"/>
      <c r="K626" s="6"/>
    </row>
    <row r="627" spans="1:11" x14ac:dyDescent="0.2">
      <c r="A627" s="6"/>
      <c r="B627" s="7"/>
      <c r="C627" s="7"/>
      <c r="D627" s="7"/>
      <c r="E627" s="7"/>
      <c r="F627" s="7"/>
      <c r="G627" s="8"/>
      <c r="H627" s="7"/>
      <c r="K627" s="6"/>
    </row>
    <row r="628" spans="1:11" x14ac:dyDescent="0.2">
      <c r="A628" s="6"/>
      <c r="B628" s="7"/>
      <c r="C628" s="7"/>
      <c r="D628" s="7"/>
      <c r="E628" s="7"/>
      <c r="F628" s="7"/>
      <c r="G628" s="8"/>
      <c r="H628" s="7"/>
      <c r="K628" s="6"/>
    </row>
    <row r="629" spans="1:11" x14ac:dyDescent="0.2">
      <c r="A629" s="6"/>
      <c r="B629" s="7"/>
      <c r="C629" s="7"/>
      <c r="D629" s="7"/>
      <c r="E629" s="7"/>
      <c r="F629" s="7"/>
      <c r="G629" s="8"/>
      <c r="H629" s="7"/>
      <c r="K629" s="6"/>
    </row>
    <row r="630" spans="1:11" x14ac:dyDescent="0.2">
      <c r="A630" s="6"/>
      <c r="B630" s="7"/>
      <c r="C630" s="7"/>
      <c r="D630" s="7"/>
      <c r="E630" s="7"/>
      <c r="F630" s="7"/>
      <c r="G630" s="8"/>
      <c r="H630" s="7"/>
      <c r="K630" s="6"/>
    </row>
    <row r="631" spans="1:11" x14ac:dyDescent="0.2">
      <c r="A631" s="6"/>
      <c r="B631" s="7"/>
      <c r="H631" s="7"/>
      <c r="K631" s="6"/>
    </row>
    <row r="632" spans="1:11" x14ac:dyDescent="0.2">
      <c r="A632" s="6"/>
      <c r="B632" s="7"/>
      <c r="C632" s="7"/>
      <c r="D632" s="7"/>
      <c r="E632" s="7"/>
      <c r="F632" s="7"/>
      <c r="G632" s="8"/>
      <c r="H632" s="7"/>
      <c r="K632" s="6"/>
    </row>
    <row r="633" spans="1:11" x14ac:dyDescent="0.2">
      <c r="A633" s="6"/>
      <c r="B633" s="7"/>
      <c r="C633" s="7"/>
      <c r="D633" s="7"/>
      <c r="E633" s="7"/>
      <c r="F633" s="7"/>
      <c r="G633" s="8"/>
      <c r="H633" s="7"/>
      <c r="K633" s="6"/>
    </row>
    <row r="634" spans="1:11" x14ac:dyDescent="0.2">
      <c r="A634" s="6"/>
      <c r="B634" s="7"/>
      <c r="C634" s="7"/>
      <c r="D634" s="7"/>
      <c r="E634" s="7"/>
      <c r="F634" s="7"/>
      <c r="G634" s="8"/>
      <c r="H634" s="7"/>
      <c r="K634" s="6"/>
    </row>
    <row r="635" spans="1:11" x14ac:dyDescent="0.2">
      <c r="A635" s="6"/>
      <c r="B635" s="7"/>
      <c r="C635" s="7"/>
      <c r="D635" s="7"/>
      <c r="E635" s="7"/>
      <c r="F635" s="7"/>
      <c r="G635" s="8"/>
      <c r="H635" s="7"/>
      <c r="K635" s="6"/>
    </row>
    <row r="636" spans="1:11" x14ac:dyDescent="0.2">
      <c r="A636" s="6"/>
      <c r="B636" s="7"/>
      <c r="C636" s="7"/>
      <c r="D636" s="7"/>
      <c r="E636" s="7"/>
      <c r="F636" s="7"/>
      <c r="G636" s="8"/>
      <c r="H636" s="7"/>
      <c r="K636" s="6"/>
    </row>
    <row r="637" spans="1:11" x14ac:dyDescent="0.2">
      <c r="A637" s="6"/>
      <c r="B637" s="7"/>
      <c r="C637" s="7"/>
      <c r="D637" s="7"/>
      <c r="E637" s="7"/>
      <c r="F637" s="7"/>
      <c r="G637" s="8"/>
      <c r="H637" s="7"/>
      <c r="K637" s="6"/>
    </row>
    <row r="638" spans="1:11" x14ac:dyDescent="0.2">
      <c r="A638" s="6"/>
      <c r="B638" s="7"/>
      <c r="C638" s="7"/>
      <c r="D638" s="7"/>
      <c r="E638" s="7"/>
      <c r="F638" s="7"/>
      <c r="G638" s="8"/>
      <c r="H638" s="7"/>
      <c r="K638" s="6"/>
    </row>
    <row r="639" spans="1:11" x14ac:dyDescent="0.2">
      <c r="A639" s="6"/>
      <c r="B639" s="7"/>
      <c r="C639" s="7"/>
      <c r="D639" s="7"/>
      <c r="E639" s="7"/>
      <c r="F639" s="7"/>
      <c r="G639" s="8"/>
      <c r="K639" s="6"/>
    </row>
    <row r="640" spans="1:11" x14ac:dyDescent="0.2">
      <c r="A640" s="6"/>
      <c r="B640" s="7"/>
      <c r="C640" s="7"/>
      <c r="D640" s="7"/>
      <c r="E640" s="7"/>
      <c r="F640" s="7"/>
      <c r="G640" s="8"/>
      <c r="H640" s="7"/>
      <c r="K640" s="6"/>
    </row>
    <row r="641" spans="1:11" x14ac:dyDescent="0.2">
      <c r="A641" s="6"/>
      <c r="B641" s="7"/>
      <c r="C641" s="7"/>
      <c r="D641" s="7"/>
      <c r="E641" s="7"/>
      <c r="F641" s="7"/>
      <c r="G641" s="8"/>
      <c r="H641" s="7"/>
      <c r="K641" s="6"/>
    </row>
    <row r="642" spans="1:11" x14ac:dyDescent="0.2">
      <c r="A642" s="6"/>
      <c r="B642" s="7"/>
      <c r="C642" s="7"/>
      <c r="D642" s="7"/>
      <c r="E642" s="7"/>
      <c r="F642" s="7"/>
      <c r="G642" s="8"/>
      <c r="H642" s="7"/>
      <c r="K642" s="6"/>
    </row>
    <row r="643" spans="1:11" x14ac:dyDescent="0.2">
      <c r="A643" s="6"/>
      <c r="B643" s="7"/>
      <c r="C643" s="7"/>
      <c r="D643" s="7"/>
      <c r="E643" s="7"/>
      <c r="F643" s="7"/>
      <c r="G643" s="8"/>
      <c r="H643" s="7"/>
      <c r="K643" s="6"/>
    </row>
    <row r="644" spans="1:11" x14ac:dyDescent="0.2">
      <c r="A644" s="6"/>
      <c r="B644" s="7"/>
      <c r="C644" s="7"/>
      <c r="D644" s="7"/>
      <c r="E644" s="7"/>
      <c r="F644" s="7"/>
      <c r="G644" s="8"/>
      <c r="H644" s="7"/>
      <c r="K644" s="6"/>
    </row>
    <row r="645" spans="1:11" x14ac:dyDescent="0.2">
      <c r="A645" s="6"/>
      <c r="B645" s="7"/>
      <c r="C645" s="7"/>
      <c r="D645" s="7"/>
      <c r="E645" s="7"/>
      <c r="F645" s="7"/>
      <c r="G645" s="8"/>
      <c r="H645" s="7"/>
      <c r="K645" s="6"/>
    </row>
    <row r="646" spans="1:11" x14ac:dyDescent="0.2">
      <c r="A646" s="6"/>
      <c r="B646" s="7"/>
      <c r="C646" s="7"/>
      <c r="D646" s="7"/>
      <c r="E646" s="7"/>
      <c r="F646" s="7"/>
      <c r="G646" s="8"/>
      <c r="H646" s="7"/>
      <c r="K646" s="6"/>
    </row>
    <row r="647" spans="1:11" x14ac:dyDescent="0.2">
      <c r="A647" s="6"/>
      <c r="B647" s="7"/>
      <c r="C647" s="7"/>
      <c r="D647" s="7"/>
      <c r="E647" s="7"/>
      <c r="F647" s="7"/>
      <c r="G647" s="8"/>
      <c r="H647" s="7"/>
      <c r="K647" s="6"/>
    </row>
    <row r="648" spans="1:11" x14ac:dyDescent="0.2">
      <c r="A648" s="6"/>
      <c r="B648" s="7"/>
      <c r="C648" s="7"/>
      <c r="D648" s="7"/>
      <c r="E648" s="7"/>
      <c r="F648" s="7"/>
      <c r="G648" s="8"/>
      <c r="H648" s="7"/>
      <c r="K648" s="6"/>
    </row>
    <row r="649" spans="1:11" x14ac:dyDescent="0.2">
      <c r="A649" s="6"/>
      <c r="B649" s="7"/>
      <c r="C649" s="7"/>
      <c r="D649" s="7"/>
      <c r="E649" s="7"/>
      <c r="F649" s="7"/>
      <c r="G649" s="8"/>
      <c r="H649" s="7"/>
      <c r="K649" s="6"/>
    </row>
    <row r="650" spans="1:11" x14ac:dyDescent="0.2">
      <c r="A650" s="6"/>
      <c r="B650" s="7"/>
      <c r="C650" s="7"/>
      <c r="D650" s="7"/>
      <c r="E650" s="7"/>
      <c r="F650" s="7"/>
      <c r="G650" s="8"/>
      <c r="H650" s="7"/>
      <c r="K650" s="6"/>
    </row>
    <row r="651" spans="1:11" x14ac:dyDescent="0.2">
      <c r="A651" s="6"/>
      <c r="B651" s="7"/>
      <c r="C651" s="7"/>
      <c r="D651" s="7"/>
      <c r="E651" s="7"/>
      <c r="F651" s="7"/>
      <c r="G651" s="8"/>
      <c r="H651" s="7"/>
      <c r="K651" s="6"/>
    </row>
    <row r="652" spans="1:11" x14ac:dyDescent="0.2">
      <c r="A652" s="6"/>
      <c r="B652" s="7"/>
      <c r="C652" s="7"/>
      <c r="D652" s="7"/>
      <c r="E652" s="7"/>
      <c r="F652" s="7"/>
      <c r="G652" s="8"/>
      <c r="H652" s="7"/>
      <c r="K652" s="6"/>
    </row>
    <row r="653" spans="1:11" x14ac:dyDescent="0.2">
      <c r="A653" s="6"/>
      <c r="B653" s="7"/>
      <c r="C653" s="7"/>
      <c r="D653" s="7"/>
      <c r="E653" s="7"/>
      <c r="F653" s="7"/>
      <c r="G653" s="8"/>
      <c r="H653" s="7"/>
      <c r="K653" s="6"/>
    </row>
    <row r="654" spans="1:11" x14ac:dyDescent="0.2">
      <c r="A654" s="6"/>
      <c r="B654" s="7"/>
      <c r="C654" s="7"/>
      <c r="D654" s="7"/>
      <c r="E654" s="7"/>
      <c r="F654" s="7"/>
      <c r="G654" s="8"/>
      <c r="H654" s="7"/>
      <c r="K654" s="6"/>
    </row>
    <row r="655" spans="1:11" x14ac:dyDescent="0.2">
      <c r="A655" s="6"/>
      <c r="B655" s="7"/>
      <c r="C655" s="7"/>
      <c r="D655" s="7"/>
      <c r="E655" s="7"/>
      <c r="F655" s="7"/>
      <c r="G655" s="8"/>
      <c r="H655" s="7"/>
      <c r="K655" s="6"/>
    </row>
    <row r="656" spans="1:11" x14ac:dyDescent="0.2">
      <c r="A656" s="6"/>
      <c r="B656" s="7"/>
      <c r="C656" s="7"/>
      <c r="D656" s="7"/>
      <c r="E656" s="7"/>
      <c r="F656" s="7"/>
      <c r="G656" s="8"/>
      <c r="H656" s="7"/>
      <c r="K656" s="6"/>
    </row>
    <row r="657" spans="1:11" x14ac:dyDescent="0.2">
      <c r="A657" s="6"/>
      <c r="B657" s="7"/>
      <c r="C657" s="7"/>
      <c r="D657" s="7"/>
      <c r="E657" s="7"/>
      <c r="F657" s="7"/>
      <c r="G657" s="8"/>
      <c r="H657" s="7"/>
      <c r="K657" s="6"/>
    </row>
    <row r="658" spans="1:11" x14ac:dyDescent="0.2">
      <c r="A658" s="6"/>
      <c r="B658" s="7"/>
      <c r="C658" s="7"/>
      <c r="D658" s="7"/>
      <c r="E658" s="7"/>
      <c r="F658" s="7"/>
      <c r="G658" s="8"/>
      <c r="H658" s="7"/>
      <c r="K658" s="6"/>
    </row>
    <row r="659" spans="1:11" x14ac:dyDescent="0.2">
      <c r="A659" s="6"/>
      <c r="B659" s="7"/>
      <c r="C659" s="7"/>
      <c r="D659" s="7"/>
      <c r="E659" s="7"/>
      <c r="F659" s="7"/>
      <c r="G659" s="8"/>
      <c r="H659" s="7"/>
      <c r="K659" s="6"/>
    </row>
    <row r="660" spans="1:11" x14ac:dyDescent="0.2">
      <c r="A660" s="6"/>
      <c r="B660" s="7"/>
      <c r="C660" s="7"/>
      <c r="D660" s="7"/>
      <c r="E660" s="7"/>
      <c r="F660" s="7"/>
      <c r="G660" s="8"/>
      <c r="H660" s="7"/>
      <c r="K660" s="6"/>
    </row>
    <row r="661" spans="1:11" x14ac:dyDescent="0.2">
      <c r="A661" s="6"/>
      <c r="B661" s="7"/>
      <c r="C661" s="7"/>
      <c r="D661" s="7"/>
      <c r="E661" s="7"/>
      <c r="F661" s="7"/>
      <c r="G661" s="8"/>
      <c r="H661" s="7"/>
      <c r="K661" s="6"/>
    </row>
    <row r="662" spans="1:11" x14ac:dyDescent="0.2">
      <c r="A662" s="6"/>
      <c r="B662" s="7"/>
      <c r="C662" s="7"/>
      <c r="D662" s="7"/>
      <c r="E662" s="7"/>
      <c r="F662" s="7"/>
      <c r="G662" s="8"/>
      <c r="H662" s="7"/>
      <c r="K662" s="6"/>
    </row>
    <row r="663" spans="1:11" x14ac:dyDescent="0.2">
      <c r="A663" s="6"/>
      <c r="B663" s="7"/>
      <c r="C663" s="7"/>
      <c r="D663" s="7"/>
      <c r="E663" s="7"/>
      <c r="F663" s="7"/>
      <c r="G663" s="8"/>
      <c r="H663" s="7"/>
      <c r="K663" s="6"/>
    </row>
    <row r="664" spans="1:11" x14ac:dyDescent="0.2">
      <c r="A664" s="6"/>
      <c r="B664" s="7"/>
      <c r="C664" s="7"/>
      <c r="D664" s="7"/>
      <c r="E664" s="7"/>
      <c r="F664" s="7"/>
      <c r="G664" s="8"/>
      <c r="H664" s="7"/>
      <c r="K664" s="6"/>
    </row>
    <row r="665" spans="1:11" x14ac:dyDescent="0.2">
      <c r="A665" s="6"/>
      <c r="B665" s="7"/>
      <c r="C665" s="7"/>
      <c r="D665" s="7"/>
      <c r="E665" s="7"/>
      <c r="F665" s="7"/>
      <c r="G665" s="8"/>
      <c r="H665" s="7"/>
      <c r="K665" s="6"/>
    </row>
    <row r="666" spans="1:11" x14ac:dyDescent="0.2">
      <c r="A666" s="6"/>
      <c r="B666" s="7"/>
      <c r="C666" s="7"/>
      <c r="D666" s="7"/>
      <c r="E666" s="7"/>
      <c r="F666" s="7"/>
      <c r="G666" s="8"/>
      <c r="H666" s="7"/>
      <c r="K666" s="6"/>
    </row>
    <row r="667" spans="1:11" x14ac:dyDescent="0.2">
      <c r="A667" s="6"/>
      <c r="B667" s="7"/>
      <c r="C667" s="7"/>
      <c r="D667" s="7"/>
      <c r="E667" s="7"/>
      <c r="F667" s="7"/>
      <c r="G667" s="8"/>
      <c r="H667" s="7"/>
      <c r="K667" s="6"/>
    </row>
    <row r="668" spans="1:11" x14ac:dyDescent="0.2">
      <c r="A668" s="6"/>
      <c r="B668" s="7"/>
      <c r="C668" s="7"/>
      <c r="D668" s="7"/>
      <c r="E668" s="7"/>
      <c r="F668" s="7"/>
      <c r="G668" s="8"/>
      <c r="H668" s="7"/>
      <c r="K668" s="6"/>
    </row>
    <row r="669" spans="1:11" x14ac:dyDescent="0.2">
      <c r="A669" s="6"/>
      <c r="B669" s="7"/>
      <c r="C669" s="7"/>
      <c r="D669" s="7"/>
      <c r="E669" s="7"/>
      <c r="F669" s="7"/>
      <c r="G669" s="8"/>
      <c r="H669" s="7"/>
      <c r="K669" s="6"/>
    </row>
    <row r="670" spans="1:11" x14ac:dyDescent="0.2">
      <c r="A670" s="6"/>
      <c r="B670" s="7"/>
      <c r="C670" s="7"/>
      <c r="D670" s="7"/>
      <c r="E670" s="7"/>
      <c r="F670" s="7"/>
      <c r="G670" s="8"/>
      <c r="H670" s="7"/>
      <c r="K670" s="6"/>
    </row>
    <row r="671" spans="1:11" x14ac:dyDescent="0.2">
      <c r="A671" s="6"/>
      <c r="B671" s="7"/>
      <c r="C671" s="7"/>
      <c r="D671" s="7"/>
      <c r="E671" s="7"/>
      <c r="F671" s="7"/>
      <c r="G671" s="8"/>
      <c r="H671" s="7"/>
      <c r="K671" s="6"/>
    </row>
    <row r="672" spans="1:11" x14ac:dyDescent="0.2">
      <c r="A672" s="6"/>
      <c r="B672" s="7"/>
      <c r="C672" s="7"/>
      <c r="D672" s="7"/>
      <c r="E672" s="7"/>
      <c r="F672" s="7"/>
      <c r="G672" s="8"/>
      <c r="H672" s="7"/>
      <c r="K672" s="6"/>
    </row>
    <row r="673" spans="1:11" x14ac:dyDescent="0.2">
      <c r="A673" s="6"/>
      <c r="B673" s="7"/>
      <c r="C673" s="7"/>
      <c r="D673" s="7"/>
      <c r="E673" s="7"/>
      <c r="F673" s="7"/>
      <c r="G673" s="8"/>
      <c r="H673" s="7"/>
      <c r="K673" s="6"/>
    </row>
    <row r="674" spans="1:11" x14ac:dyDescent="0.2">
      <c r="A674" s="6"/>
      <c r="B674" s="7"/>
      <c r="C674" s="7"/>
      <c r="D674" s="7"/>
      <c r="E674" s="7"/>
      <c r="F674" s="7"/>
      <c r="G674" s="8"/>
      <c r="H674" s="7"/>
      <c r="K674" s="6"/>
    </row>
    <row r="675" spans="1:11" x14ac:dyDescent="0.2">
      <c r="A675" s="6"/>
      <c r="B675" s="7"/>
      <c r="C675" s="7"/>
      <c r="D675" s="7"/>
      <c r="E675" s="7"/>
      <c r="F675" s="7"/>
      <c r="G675" s="8"/>
      <c r="H675" s="7"/>
      <c r="K675" s="6"/>
    </row>
    <row r="676" spans="1:11" x14ac:dyDescent="0.2">
      <c r="A676" s="6"/>
      <c r="B676" s="7"/>
      <c r="C676" s="7"/>
      <c r="D676" s="7"/>
      <c r="E676" s="7"/>
      <c r="F676" s="7"/>
      <c r="G676" s="8"/>
      <c r="H676" s="7"/>
      <c r="K676" s="6"/>
    </row>
    <row r="677" spans="1:11" x14ac:dyDescent="0.2">
      <c r="A677" s="6"/>
      <c r="B677" s="7"/>
      <c r="C677" s="7"/>
      <c r="D677" s="7"/>
      <c r="E677" s="7"/>
      <c r="F677" s="7"/>
      <c r="G677" s="8"/>
      <c r="H677" s="7"/>
      <c r="K677" s="6"/>
    </row>
    <row r="678" spans="1:11" x14ac:dyDescent="0.2">
      <c r="A678" s="6"/>
      <c r="B678" s="7"/>
      <c r="C678" s="7"/>
      <c r="D678" s="7"/>
      <c r="E678" s="7"/>
      <c r="F678" s="7"/>
      <c r="G678" s="8"/>
      <c r="H678" s="7"/>
      <c r="K678" s="6"/>
    </row>
    <row r="679" spans="1:11" x14ac:dyDescent="0.2">
      <c r="A679" s="6"/>
      <c r="B679" s="7"/>
      <c r="C679" s="7"/>
      <c r="D679" s="7"/>
      <c r="E679" s="7"/>
      <c r="F679" s="7"/>
      <c r="G679" s="8"/>
      <c r="H679" s="7"/>
      <c r="K679" s="6"/>
    </row>
    <row r="680" spans="1:11" x14ac:dyDescent="0.2">
      <c r="A680" s="6"/>
      <c r="B680" s="7"/>
      <c r="C680" s="7"/>
      <c r="D680" s="7"/>
      <c r="E680" s="7"/>
      <c r="F680" s="7"/>
      <c r="G680" s="8"/>
      <c r="H680" s="7"/>
      <c r="K680" s="6"/>
    </row>
    <row r="681" spans="1:11" x14ac:dyDescent="0.2">
      <c r="A681" s="6"/>
      <c r="B681" s="7"/>
      <c r="C681" s="7"/>
      <c r="D681" s="7"/>
      <c r="E681" s="7"/>
      <c r="F681" s="7"/>
      <c r="G681" s="8"/>
      <c r="H681" s="7"/>
      <c r="K681" s="6"/>
    </row>
    <row r="682" spans="1:11" x14ac:dyDescent="0.2">
      <c r="A682" s="6"/>
      <c r="B682" s="7"/>
      <c r="C682" s="7"/>
      <c r="D682" s="7"/>
      <c r="E682" s="7"/>
      <c r="F682" s="7"/>
      <c r="G682" s="8"/>
      <c r="H682" s="7"/>
      <c r="K682" s="6"/>
    </row>
    <row r="683" spans="1:11" x14ac:dyDescent="0.2">
      <c r="A683" s="6"/>
      <c r="B683" s="7"/>
      <c r="C683" s="7"/>
      <c r="D683" s="7"/>
      <c r="E683" s="7"/>
      <c r="F683" s="7"/>
      <c r="G683" s="8"/>
      <c r="H683" s="7"/>
      <c r="K683" s="6"/>
    </row>
    <row r="684" spans="1:11" x14ac:dyDescent="0.2">
      <c r="A684" s="6"/>
      <c r="B684" s="7"/>
      <c r="C684" s="7"/>
      <c r="D684" s="7"/>
      <c r="E684" s="7"/>
      <c r="F684" s="7"/>
      <c r="G684" s="8"/>
      <c r="H684" s="7"/>
      <c r="K684" s="6"/>
    </row>
    <row r="685" spans="1:11" x14ac:dyDescent="0.2">
      <c r="A685" s="6"/>
      <c r="B685" s="7"/>
      <c r="C685" s="7"/>
      <c r="D685" s="7"/>
      <c r="E685" s="7"/>
      <c r="F685" s="7"/>
      <c r="G685" s="8"/>
      <c r="H685" s="7"/>
      <c r="K685" s="6"/>
    </row>
    <row r="686" spans="1:11" x14ac:dyDescent="0.2">
      <c r="A686" s="6"/>
      <c r="B686" s="7"/>
      <c r="C686" s="7"/>
      <c r="D686" s="7"/>
      <c r="E686" s="7"/>
      <c r="F686" s="7"/>
      <c r="G686" s="8"/>
      <c r="H686" s="7"/>
      <c r="K686" s="6"/>
    </row>
    <row r="687" spans="1:11" x14ac:dyDescent="0.2">
      <c r="A687" s="6"/>
      <c r="B687" s="7"/>
      <c r="C687" s="7"/>
      <c r="D687" s="7"/>
      <c r="E687" s="7"/>
      <c r="F687" s="7"/>
      <c r="G687" s="8"/>
      <c r="H687" s="7"/>
      <c r="K687" s="6"/>
    </row>
    <row r="688" spans="1:11" x14ac:dyDescent="0.2">
      <c r="A688" s="6"/>
      <c r="B688" s="7"/>
      <c r="C688" s="7"/>
      <c r="D688" s="7"/>
      <c r="E688" s="7"/>
      <c r="F688" s="7"/>
      <c r="G688" s="8"/>
      <c r="H688" s="7"/>
      <c r="K688" s="6"/>
    </row>
    <row r="689" spans="1:11" x14ac:dyDescent="0.2">
      <c r="A689" s="6"/>
      <c r="B689" s="7"/>
      <c r="C689" s="7"/>
      <c r="D689" s="7"/>
      <c r="E689" s="7"/>
      <c r="F689" s="7"/>
      <c r="G689" s="8"/>
      <c r="H689" s="7"/>
      <c r="K689" s="6"/>
    </row>
    <row r="690" spans="1:11" x14ac:dyDescent="0.2">
      <c r="A690" s="6"/>
      <c r="B690" s="7"/>
      <c r="C690" s="7"/>
      <c r="D690" s="7"/>
      <c r="E690" s="7"/>
      <c r="F690" s="7"/>
      <c r="G690" s="8"/>
      <c r="H690" s="7"/>
      <c r="K690" s="6"/>
    </row>
    <row r="691" spans="1:11" x14ac:dyDescent="0.2">
      <c r="A691" s="6"/>
      <c r="B691" s="7"/>
      <c r="C691" s="7"/>
      <c r="D691" s="7"/>
      <c r="E691" s="7"/>
      <c r="F691" s="7"/>
      <c r="G691" s="8"/>
      <c r="H691" s="7"/>
      <c r="K691" s="6"/>
    </row>
    <row r="692" spans="1:11" x14ac:dyDescent="0.2">
      <c r="A692" s="6"/>
      <c r="B692" s="7"/>
      <c r="C692" s="7"/>
      <c r="D692" s="7"/>
      <c r="E692" s="7"/>
      <c r="F692" s="7"/>
      <c r="G692" s="8"/>
      <c r="H692" s="7"/>
      <c r="K692" s="6"/>
    </row>
    <row r="693" spans="1:11" x14ac:dyDescent="0.2">
      <c r="A693" s="6"/>
      <c r="B693" s="7"/>
      <c r="C693" s="7"/>
      <c r="D693" s="7"/>
      <c r="E693" s="7"/>
      <c r="F693" s="7"/>
      <c r="G693" s="8"/>
      <c r="H693" s="7"/>
      <c r="K693" s="6"/>
    </row>
    <row r="694" spans="1:11" x14ac:dyDescent="0.2">
      <c r="A694" s="6"/>
      <c r="B694" s="7"/>
      <c r="C694" s="7"/>
      <c r="D694" s="7"/>
      <c r="E694" s="7"/>
      <c r="F694" s="7"/>
      <c r="G694" s="8"/>
      <c r="H694" s="7"/>
      <c r="K694" s="6"/>
    </row>
    <row r="695" spans="1:11" x14ac:dyDescent="0.2">
      <c r="A695" s="6"/>
      <c r="B695" s="7"/>
      <c r="H695" s="7"/>
      <c r="K695" s="6"/>
    </row>
    <row r="696" spans="1:11" x14ac:dyDescent="0.2">
      <c r="A696" s="6"/>
      <c r="B696" s="7"/>
      <c r="C696" s="7"/>
      <c r="D696" s="7"/>
      <c r="E696" s="7"/>
      <c r="F696" s="7"/>
      <c r="G696" s="8"/>
      <c r="H696" s="7"/>
      <c r="K696" s="6"/>
    </row>
    <row r="697" spans="1:11" x14ac:dyDescent="0.2">
      <c r="A697" s="6"/>
      <c r="B697" s="7"/>
      <c r="C697" s="7"/>
      <c r="D697" s="7"/>
      <c r="E697" s="7"/>
      <c r="F697" s="7"/>
      <c r="G697" s="8"/>
      <c r="H697" s="7"/>
      <c r="K697" s="6"/>
    </row>
    <row r="698" spans="1:11" x14ac:dyDescent="0.2">
      <c r="A698" s="6"/>
      <c r="B698" s="7"/>
      <c r="C698" s="7"/>
      <c r="D698" s="7"/>
      <c r="E698" s="7"/>
      <c r="F698" s="7"/>
      <c r="G698" s="8"/>
      <c r="H698" s="7"/>
      <c r="K698" s="6"/>
    </row>
    <row r="699" spans="1:11" x14ac:dyDescent="0.2">
      <c r="A699" s="6"/>
      <c r="B699" s="7"/>
      <c r="C699" s="7"/>
      <c r="D699" s="7"/>
      <c r="E699" s="7"/>
      <c r="F699" s="7"/>
      <c r="G699" s="8"/>
      <c r="H699" s="7"/>
      <c r="K699" s="6"/>
    </row>
    <row r="700" spans="1:11" x14ac:dyDescent="0.2">
      <c r="A700" s="6"/>
      <c r="B700" s="7"/>
      <c r="C700" s="7"/>
      <c r="D700" s="7"/>
      <c r="E700" s="7"/>
      <c r="F700" s="7"/>
      <c r="G700" s="8"/>
      <c r="H700" s="7"/>
      <c r="K700" s="6"/>
    </row>
    <row r="701" spans="1:11" x14ac:dyDescent="0.2">
      <c r="A701" s="6"/>
      <c r="B701" s="7"/>
      <c r="C701" s="7"/>
      <c r="D701" s="7"/>
      <c r="E701" s="7"/>
      <c r="F701" s="7"/>
      <c r="G701" s="8"/>
      <c r="H701" s="7"/>
      <c r="K701" s="6"/>
    </row>
    <row r="702" spans="1:11" x14ac:dyDescent="0.2">
      <c r="A702" s="6"/>
      <c r="B702" s="7"/>
      <c r="C702" s="7"/>
      <c r="D702" s="7"/>
      <c r="E702" s="7"/>
      <c r="F702" s="7"/>
      <c r="G702" s="8"/>
      <c r="H702" s="7"/>
      <c r="K702" s="6"/>
    </row>
    <row r="703" spans="1:11" x14ac:dyDescent="0.2">
      <c r="A703" s="6"/>
      <c r="B703" s="7"/>
      <c r="C703" s="7"/>
      <c r="D703" s="7"/>
      <c r="E703" s="7"/>
      <c r="F703" s="7"/>
      <c r="G703" s="8"/>
      <c r="H703" s="7"/>
      <c r="K703" s="6"/>
    </row>
    <row r="704" spans="1:11" x14ac:dyDescent="0.2">
      <c r="A704" s="6"/>
      <c r="B704" s="7"/>
      <c r="C704" s="7"/>
      <c r="D704" s="7"/>
      <c r="E704" s="7"/>
      <c r="F704" s="7"/>
      <c r="G704" s="8"/>
      <c r="K704" s="6"/>
    </row>
    <row r="705" spans="1:11" x14ac:dyDescent="0.2">
      <c r="A705" s="6"/>
      <c r="B705" s="7"/>
      <c r="C705" s="7"/>
      <c r="D705" s="7"/>
      <c r="E705" s="7"/>
      <c r="F705" s="7"/>
      <c r="G705" s="8"/>
      <c r="H705" s="7"/>
      <c r="K705" s="6"/>
    </row>
    <row r="706" spans="1:11" x14ac:dyDescent="0.2">
      <c r="A706" s="6"/>
      <c r="B706" s="7"/>
      <c r="C706" s="7"/>
      <c r="D706" s="7"/>
      <c r="E706" s="7"/>
      <c r="F706" s="7"/>
      <c r="G706" s="8"/>
      <c r="H706" s="7"/>
      <c r="K706" s="6"/>
    </row>
    <row r="707" spans="1:11" x14ac:dyDescent="0.2">
      <c r="A707" s="6"/>
      <c r="B707" s="7"/>
      <c r="C707" s="7"/>
      <c r="D707" s="7"/>
      <c r="E707" s="7"/>
      <c r="F707" s="7"/>
      <c r="G707" s="8"/>
      <c r="H707" s="7"/>
      <c r="K707" s="6"/>
    </row>
    <row r="708" spans="1:11" x14ac:dyDescent="0.2">
      <c r="A708" s="6"/>
      <c r="B708" s="7"/>
      <c r="C708" s="7"/>
      <c r="D708" s="7"/>
      <c r="E708" s="7"/>
      <c r="F708" s="7"/>
      <c r="G708" s="8"/>
      <c r="H708" s="7"/>
      <c r="K708" s="6"/>
    </row>
    <row r="709" spans="1:11" x14ac:dyDescent="0.2">
      <c r="A709" s="6"/>
      <c r="B709" s="7"/>
      <c r="C709" s="7"/>
      <c r="D709" s="7"/>
      <c r="E709" s="7"/>
      <c r="F709" s="7"/>
      <c r="G709" s="8"/>
      <c r="H709" s="7"/>
      <c r="K709" s="6"/>
    </row>
    <row r="710" spans="1:11" x14ac:dyDescent="0.2">
      <c r="A710" s="6"/>
      <c r="B710" s="7"/>
      <c r="C710" s="7"/>
      <c r="D710" s="7"/>
      <c r="E710" s="7"/>
      <c r="F710" s="7"/>
      <c r="G710" s="8"/>
      <c r="H710" s="7"/>
      <c r="K710" s="6"/>
    </row>
    <row r="711" spans="1:11" x14ac:dyDescent="0.2">
      <c r="A711" s="6"/>
      <c r="B711" s="7"/>
      <c r="C711" s="7"/>
      <c r="D711" s="7"/>
      <c r="E711" s="7"/>
      <c r="F711" s="7"/>
      <c r="G711" s="8"/>
      <c r="H711" s="7"/>
      <c r="K711" s="6"/>
    </row>
    <row r="712" spans="1:11" x14ac:dyDescent="0.2">
      <c r="A712" s="6"/>
      <c r="B712" s="7"/>
      <c r="C712" s="7"/>
      <c r="D712" s="7"/>
      <c r="E712" s="7"/>
      <c r="F712" s="7"/>
      <c r="G712" s="8"/>
      <c r="H712" s="7"/>
      <c r="K712" s="6"/>
    </row>
    <row r="713" spans="1:11" x14ac:dyDescent="0.2">
      <c r="A713" s="6"/>
      <c r="B713" s="7"/>
      <c r="C713" s="7"/>
      <c r="D713" s="7"/>
      <c r="E713" s="7"/>
      <c r="F713" s="7"/>
      <c r="G713" s="8"/>
      <c r="H713" s="7"/>
      <c r="K713" s="6"/>
    </row>
    <row r="714" spans="1:11" x14ac:dyDescent="0.2">
      <c r="A714" s="6"/>
      <c r="B714" s="7"/>
      <c r="C714" s="7"/>
      <c r="D714" s="7"/>
      <c r="E714" s="7"/>
      <c r="F714" s="7"/>
      <c r="G714" s="8"/>
      <c r="H714" s="7"/>
      <c r="K714" s="6"/>
    </row>
    <row r="715" spans="1:11" x14ac:dyDescent="0.2">
      <c r="A715" s="6"/>
      <c r="B715" s="7"/>
      <c r="C715" s="7"/>
      <c r="D715" s="7"/>
      <c r="E715" s="7"/>
      <c r="F715" s="7"/>
      <c r="G715" s="8"/>
      <c r="H715" s="7"/>
      <c r="K715" s="6"/>
    </row>
    <row r="716" spans="1:11" x14ac:dyDescent="0.2">
      <c r="A716" s="6"/>
      <c r="B716" s="7"/>
      <c r="C716" s="7"/>
      <c r="D716" s="7"/>
      <c r="E716" s="7"/>
      <c r="F716" s="7"/>
      <c r="G716" s="8"/>
      <c r="H716" s="7"/>
      <c r="K716" s="6"/>
    </row>
    <row r="717" spans="1:11" x14ac:dyDescent="0.2">
      <c r="A717" s="6"/>
      <c r="B717" s="7"/>
      <c r="C717" s="7"/>
      <c r="D717" s="7"/>
      <c r="E717" s="7"/>
      <c r="F717" s="7"/>
      <c r="G717" s="8"/>
      <c r="H717" s="7"/>
      <c r="K717" s="6"/>
    </row>
    <row r="718" spans="1:11" x14ac:dyDescent="0.2">
      <c r="A718" s="6"/>
      <c r="B718" s="7"/>
      <c r="C718" s="7"/>
      <c r="D718" s="7"/>
      <c r="E718" s="7"/>
      <c r="F718" s="7"/>
      <c r="G718" s="8"/>
      <c r="H718" s="7"/>
      <c r="K718" s="6"/>
    </row>
    <row r="719" spans="1:11" x14ac:dyDescent="0.2">
      <c r="A719" s="6"/>
      <c r="B719" s="7"/>
      <c r="C719" s="7"/>
      <c r="D719" s="7"/>
      <c r="E719" s="7"/>
      <c r="F719" s="7"/>
      <c r="G719" s="8"/>
      <c r="H719" s="7"/>
      <c r="K719" s="6"/>
    </row>
    <row r="720" spans="1:11" x14ac:dyDescent="0.2">
      <c r="A720" s="6"/>
      <c r="B720" s="7"/>
      <c r="C720" s="7"/>
      <c r="D720" s="7"/>
      <c r="E720" s="7"/>
      <c r="F720" s="7"/>
      <c r="G720" s="8"/>
      <c r="H720" s="7"/>
      <c r="K720" s="6"/>
    </row>
    <row r="721" spans="1:11" x14ac:dyDescent="0.2">
      <c r="A721" s="6"/>
      <c r="B721" s="7"/>
      <c r="C721" s="7"/>
      <c r="D721" s="7"/>
      <c r="E721" s="7"/>
      <c r="F721" s="7"/>
      <c r="G721" s="8"/>
      <c r="H721" s="7"/>
      <c r="K721" s="6"/>
    </row>
    <row r="722" spans="1:11" x14ac:dyDescent="0.2">
      <c r="A722" s="6"/>
      <c r="B722" s="7"/>
      <c r="C722" s="7"/>
      <c r="D722" s="7"/>
      <c r="E722" s="7"/>
      <c r="F722" s="7"/>
      <c r="G722" s="8"/>
      <c r="H722" s="7"/>
      <c r="K722" s="6"/>
    </row>
    <row r="723" spans="1:11" x14ac:dyDescent="0.2">
      <c r="A723" s="6"/>
      <c r="B723" s="7"/>
      <c r="C723" s="7"/>
      <c r="D723" s="7"/>
      <c r="E723" s="7"/>
      <c r="F723" s="7"/>
      <c r="G723" s="8"/>
      <c r="H723" s="7"/>
      <c r="K723" s="6"/>
    </row>
    <row r="724" spans="1:11" x14ac:dyDescent="0.2">
      <c r="A724" s="6"/>
      <c r="B724" s="7"/>
      <c r="C724" s="7"/>
      <c r="D724" s="7"/>
      <c r="E724" s="7"/>
      <c r="F724" s="7"/>
      <c r="G724" s="8"/>
      <c r="H724" s="7"/>
      <c r="K724" s="6"/>
    </row>
    <row r="725" spans="1:11" x14ac:dyDescent="0.2">
      <c r="A725" s="6"/>
      <c r="B725" s="7"/>
      <c r="C725" s="7"/>
      <c r="D725" s="7"/>
      <c r="E725" s="7"/>
      <c r="F725" s="7"/>
      <c r="G725" s="8"/>
      <c r="H725" s="7"/>
      <c r="K725" s="6"/>
    </row>
    <row r="726" spans="1:11" x14ac:dyDescent="0.2">
      <c r="A726" s="6"/>
      <c r="B726" s="7"/>
      <c r="C726" s="7"/>
      <c r="D726" s="7"/>
      <c r="E726" s="7"/>
      <c r="F726" s="7"/>
      <c r="G726" s="8"/>
      <c r="H726" s="7"/>
      <c r="K726" s="6"/>
    </row>
    <row r="727" spans="1:11" x14ac:dyDescent="0.2">
      <c r="A727" s="6"/>
      <c r="B727" s="7"/>
      <c r="C727" s="7"/>
      <c r="D727" s="7"/>
      <c r="E727" s="7"/>
      <c r="F727" s="7"/>
      <c r="G727" s="8"/>
      <c r="H727" s="7"/>
      <c r="K727" s="6"/>
    </row>
    <row r="728" spans="1:11" x14ac:dyDescent="0.2">
      <c r="A728" s="6"/>
      <c r="B728" s="7"/>
      <c r="C728" s="7"/>
      <c r="D728" s="7"/>
      <c r="E728" s="7"/>
      <c r="F728" s="7"/>
      <c r="G728" s="8"/>
      <c r="H728" s="7"/>
      <c r="K728" s="6"/>
    </row>
    <row r="729" spans="1:11" x14ac:dyDescent="0.2">
      <c r="A729" s="6"/>
      <c r="B729" s="7"/>
      <c r="C729" s="7"/>
      <c r="D729" s="7"/>
      <c r="E729" s="7"/>
      <c r="F729" s="7"/>
      <c r="G729" s="8"/>
      <c r="H729" s="7"/>
      <c r="K729" s="6"/>
    </row>
    <row r="730" spans="1:11" x14ac:dyDescent="0.2">
      <c r="A730" s="6"/>
      <c r="B730" s="7"/>
      <c r="C730" s="7"/>
      <c r="D730" s="7"/>
      <c r="E730" s="7"/>
      <c r="F730" s="7"/>
      <c r="G730" s="8"/>
      <c r="H730" s="7"/>
      <c r="K730" s="6"/>
    </row>
    <row r="731" spans="1:11" x14ac:dyDescent="0.2">
      <c r="A731" s="6"/>
      <c r="B731" s="7"/>
      <c r="C731" s="7"/>
      <c r="D731" s="7"/>
      <c r="E731" s="7"/>
      <c r="F731" s="7"/>
      <c r="G731" s="8"/>
      <c r="H731" s="7"/>
      <c r="K731" s="6"/>
    </row>
    <row r="732" spans="1:11" x14ac:dyDescent="0.2">
      <c r="A732" s="6"/>
      <c r="B732" s="7"/>
      <c r="C732" s="7"/>
      <c r="D732" s="7"/>
      <c r="E732" s="7"/>
      <c r="F732" s="7"/>
      <c r="G732" s="8"/>
      <c r="H732" s="7"/>
      <c r="K732" s="6"/>
    </row>
    <row r="733" spans="1:11" x14ac:dyDescent="0.2">
      <c r="A733" s="6"/>
      <c r="B733" s="7"/>
      <c r="C733" s="7"/>
      <c r="D733" s="7"/>
      <c r="E733" s="7"/>
      <c r="F733" s="7"/>
      <c r="G733" s="8"/>
      <c r="H733" s="7"/>
      <c r="K733" s="6"/>
    </row>
    <row r="734" spans="1:11" x14ac:dyDescent="0.2">
      <c r="A734" s="6"/>
      <c r="B734" s="7"/>
      <c r="C734" s="7"/>
      <c r="D734" s="7"/>
      <c r="E734" s="7"/>
      <c r="F734" s="7"/>
      <c r="G734" s="8"/>
      <c r="H734" s="7"/>
      <c r="K734" s="6"/>
    </row>
    <row r="735" spans="1:11" x14ac:dyDescent="0.2">
      <c r="A735" s="6"/>
      <c r="B735" s="7"/>
      <c r="C735" s="7"/>
      <c r="D735" s="7"/>
      <c r="E735" s="7"/>
      <c r="F735" s="7"/>
      <c r="G735" s="8"/>
      <c r="H735" s="7"/>
      <c r="K735" s="6"/>
    </row>
    <row r="736" spans="1:11" x14ac:dyDescent="0.2">
      <c r="A736" s="6"/>
      <c r="B736" s="7"/>
      <c r="C736" s="7"/>
      <c r="D736" s="7"/>
      <c r="E736" s="7"/>
      <c r="F736" s="7"/>
      <c r="G736" s="8"/>
      <c r="H736" s="7"/>
      <c r="K736" s="6"/>
    </row>
    <row r="737" spans="1:11" x14ac:dyDescent="0.2">
      <c r="A737" s="6"/>
      <c r="B737" s="7"/>
      <c r="C737" s="7"/>
      <c r="D737" s="7"/>
      <c r="E737" s="7"/>
      <c r="F737" s="7"/>
      <c r="G737" s="8"/>
      <c r="H737" s="7"/>
      <c r="K737" s="6"/>
    </row>
    <row r="738" spans="1:11" x14ac:dyDescent="0.2">
      <c r="A738" s="6"/>
      <c r="B738" s="7"/>
      <c r="C738" s="7"/>
      <c r="D738" s="7"/>
      <c r="E738" s="7"/>
      <c r="F738" s="7"/>
      <c r="G738" s="8"/>
      <c r="H738" s="7"/>
      <c r="K738" s="6"/>
    </row>
    <row r="739" spans="1:11" x14ac:dyDescent="0.2">
      <c r="A739" s="6"/>
      <c r="B739" s="7"/>
      <c r="C739" s="7"/>
      <c r="D739" s="7"/>
      <c r="E739" s="7"/>
      <c r="F739" s="7"/>
      <c r="G739" s="8"/>
      <c r="H739" s="7"/>
      <c r="K739" s="6"/>
    </row>
    <row r="740" spans="1:11" x14ac:dyDescent="0.2">
      <c r="A740" s="6"/>
      <c r="B740" s="7"/>
      <c r="C740" s="7"/>
      <c r="D740" s="7"/>
      <c r="E740" s="7"/>
      <c r="F740" s="7"/>
      <c r="G740" s="8"/>
      <c r="H740" s="7"/>
      <c r="K740" s="6"/>
    </row>
    <row r="741" spans="1:11" x14ac:dyDescent="0.2">
      <c r="A741" s="6"/>
      <c r="B741" s="7"/>
      <c r="C741" s="7"/>
      <c r="D741" s="7"/>
      <c r="E741" s="7"/>
      <c r="F741" s="7"/>
      <c r="G741" s="8"/>
      <c r="H741" s="7"/>
      <c r="K741" s="6"/>
    </row>
    <row r="742" spans="1:11" x14ac:dyDescent="0.2">
      <c r="A742" s="6"/>
      <c r="B742" s="7"/>
      <c r="C742" s="7"/>
      <c r="D742" s="7"/>
      <c r="E742" s="7"/>
      <c r="F742" s="7"/>
      <c r="G742" s="8"/>
      <c r="H742" s="7"/>
      <c r="K742" s="6"/>
    </row>
    <row r="743" spans="1:11" x14ac:dyDescent="0.2">
      <c r="A743" s="6"/>
      <c r="B743" s="7"/>
      <c r="C743" s="7"/>
      <c r="D743" s="7"/>
      <c r="E743" s="7"/>
      <c r="F743" s="7"/>
      <c r="G743" s="8"/>
      <c r="H743" s="7"/>
      <c r="K743" s="6"/>
    </row>
    <row r="744" spans="1:11" x14ac:dyDescent="0.2">
      <c r="A744" s="6"/>
      <c r="B744" s="7"/>
      <c r="C744" s="7"/>
      <c r="D744" s="7"/>
      <c r="E744" s="7"/>
      <c r="F744" s="7"/>
      <c r="G744" s="8"/>
      <c r="H744" s="7"/>
      <c r="K744" s="6"/>
    </row>
    <row r="745" spans="1:11" x14ac:dyDescent="0.2">
      <c r="A745" s="6"/>
      <c r="B745" s="7"/>
      <c r="C745" s="7"/>
      <c r="D745" s="7"/>
      <c r="E745" s="7"/>
      <c r="F745" s="7"/>
      <c r="G745" s="8"/>
      <c r="H745" s="7"/>
      <c r="K745" s="6"/>
    </row>
    <row r="746" spans="1:11" x14ac:dyDescent="0.2">
      <c r="A746" s="6"/>
      <c r="B746" s="7"/>
      <c r="C746" s="7"/>
      <c r="D746" s="7"/>
      <c r="E746" s="7"/>
      <c r="F746" s="7"/>
      <c r="G746" s="8"/>
      <c r="H746" s="7"/>
      <c r="K746" s="6"/>
    </row>
    <row r="747" spans="1:11" x14ac:dyDescent="0.2">
      <c r="A747" s="6"/>
      <c r="B747" s="7"/>
      <c r="C747" s="7"/>
      <c r="D747" s="7"/>
      <c r="E747" s="7"/>
      <c r="F747" s="7"/>
      <c r="G747" s="8"/>
      <c r="H747" s="7"/>
      <c r="K747" s="6"/>
    </row>
    <row r="748" spans="1:11" x14ac:dyDescent="0.2">
      <c r="A748" s="6"/>
      <c r="B748" s="7"/>
      <c r="C748" s="7"/>
      <c r="D748" s="7"/>
      <c r="E748" s="7"/>
      <c r="F748" s="7"/>
      <c r="G748" s="8"/>
      <c r="H748" s="7"/>
      <c r="K748" s="6"/>
    </row>
    <row r="749" spans="1:11" x14ac:dyDescent="0.2">
      <c r="A749" s="6"/>
      <c r="B749" s="7"/>
      <c r="C749" s="7"/>
      <c r="D749" s="7"/>
      <c r="E749" s="7"/>
      <c r="F749" s="7"/>
      <c r="G749" s="8"/>
      <c r="H749" s="7"/>
      <c r="K749" s="6"/>
    </row>
    <row r="750" spans="1:11" x14ac:dyDescent="0.2">
      <c r="A750" s="6"/>
      <c r="B750" s="7"/>
      <c r="C750" s="7"/>
      <c r="D750" s="7"/>
      <c r="E750" s="7"/>
      <c r="F750" s="7"/>
      <c r="G750" s="8"/>
      <c r="H750" s="7"/>
      <c r="K750" s="6"/>
    </row>
    <row r="751" spans="1:11" x14ac:dyDescent="0.2">
      <c r="A751" s="6"/>
      <c r="B751" s="7"/>
      <c r="C751" s="7"/>
      <c r="D751" s="7"/>
      <c r="E751" s="7"/>
      <c r="F751" s="7"/>
      <c r="G751" s="8"/>
      <c r="H751" s="7"/>
      <c r="K751" s="6"/>
    </row>
    <row r="752" spans="1:11" x14ac:dyDescent="0.2">
      <c r="A752" s="6"/>
      <c r="B752" s="7"/>
      <c r="C752" s="7"/>
      <c r="D752" s="7"/>
      <c r="E752" s="7"/>
      <c r="F752" s="7"/>
      <c r="G752" s="8"/>
      <c r="H752" s="7"/>
      <c r="K752" s="6"/>
    </row>
    <row r="753" spans="1:11" x14ac:dyDescent="0.2">
      <c r="A753" s="6"/>
      <c r="B753" s="7"/>
      <c r="C753" s="7"/>
      <c r="D753" s="7"/>
      <c r="E753" s="7"/>
      <c r="F753" s="7"/>
      <c r="G753" s="8"/>
      <c r="H753" s="7"/>
      <c r="K753" s="6"/>
    </row>
    <row r="754" spans="1:11" x14ac:dyDescent="0.2">
      <c r="A754" s="6"/>
      <c r="B754" s="7"/>
      <c r="H754" s="7"/>
      <c r="K754" s="6"/>
    </row>
    <row r="755" spans="1:11" x14ac:dyDescent="0.2">
      <c r="A755" s="6"/>
      <c r="B755" s="7"/>
      <c r="C755" s="7"/>
      <c r="D755" s="7"/>
      <c r="E755" s="7"/>
      <c r="F755" s="7"/>
      <c r="G755" s="8"/>
      <c r="H755" s="7"/>
      <c r="K755" s="6"/>
    </row>
    <row r="756" spans="1:11" x14ac:dyDescent="0.2">
      <c r="A756" s="6"/>
      <c r="B756" s="7"/>
      <c r="C756" s="7"/>
      <c r="D756" s="7"/>
      <c r="E756" s="7"/>
      <c r="F756" s="7"/>
      <c r="G756" s="8"/>
      <c r="H756" s="7"/>
      <c r="K756" s="6"/>
    </row>
    <row r="757" spans="1:11" x14ac:dyDescent="0.2">
      <c r="A757" s="6"/>
      <c r="B757" s="7"/>
      <c r="C757" s="7"/>
      <c r="D757" s="7"/>
      <c r="E757" s="7"/>
      <c r="F757" s="7"/>
      <c r="G757" s="8"/>
      <c r="H757" s="7"/>
      <c r="K757" s="6"/>
    </row>
    <row r="758" spans="1:11" x14ac:dyDescent="0.2">
      <c r="A758" s="6"/>
      <c r="B758" s="7"/>
      <c r="C758" s="7"/>
      <c r="D758" s="7"/>
      <c r="E758" s="7"/>
      <c r="F758" s="7"/>
      <c r="G758" s="8"/>
      <c r="H758" s="7"/>
      <c r="K758" s="6"/>
    </row>
    <row r="759" spans="1:11" x14ac:dyDescent="0.2">
      <c r="A759" s="6"/>
      <c r="B759" s="7"/>
      <c r="C759" s="7"/>
      <c r="D759" s="7"/>
      <c r="E759" s="7"/>
      <c r="F759" s="7"/>
      <c r="G759" s="8"/>
      <c r="H759" s="7"/>
      <c r="K759" s="6"/>
    </row>
    <row r="760" spans="1:11" x14ac:dyDescent="0.2">
      <c r="A760" s="6"/>
      <c r="B760" s="7"/>
      <c r="C760" s="7"/>
      <c r="D760" s="7"/>
      <c r="E760" s="7"/>
      <c r="F760" s="7"/>
      <c r="G760" s="8"/>
      <c r="H760" s="7"/>
      <c r="K760" s="6"/>
    </row>
    <row r="761" spans="1:11" x14ac:dyDescent="0.2">
      <c r="A761" s="6"/>
      <c r="B761" s="7"/>
      <c r="C761" s="7"/>
      <c r="D761" s="7"/>
      <c r="E761" s="7"/>
      <c r="F761" s="7"/>
      <c r="G761" s="8"/>
      <c r="H761" s="7"/>
      <c r="K761" s="6"/>
    </row>
    <row r="762" spans="1:11" x14ac:dyDescent="0.2">
      <c r="A762" s="6"/>
      <c r="B762" s="7"/>
      <c r="C762" s="7"/>
      <c r="D762" s="7"/>
      <c r="E762" s="7"/>
      <c r="F762" s="7"/>
      <c r="G762" s="8"/>
      <c r="H762" s="7"/>
      <c r="K762" s="6"/>
    </row>
    <row r="763" spans="1:11" x14ac:dyDescent="0.2">
      <c r="A763" s="6"/>
      <c r="B763" s="7"/>
      <c r="C763" s="7"/>
      <c r="D763" s="7"/>
      <c r="E763" s="7"/>
      <c r="F763" s="7"/>
      <c r="G763" s="8"/>
      <c r="H763" s="7"/>
      <c r="K763" s="6"/>
    </row>
    <row r="764" spans="1:11" x14ac:dyDescent="0.2">
      <c r="A764" s="6"/>
      <c r="B764" s="7"/>
      <c r="C764" s="7"/>
      <c r="D764" s="7"/>
      <c r="E764" s="7"/>
      <c r="F764" s="7"/>
      <c r="G764" s="8"/>
      <c r="H764" s="7"/>
      <c r="K764" s="6"/>
    </row>
    <row r="765" spans="1:11" x14ac:dyDescent="0.2">
      <c r="A765" s="6"/>
      <c r="B765" s="7"/>
      <c r="C765" s="7"/>
      <c r="D765" s="7"/>
      <c r="E765" s="7"/>
      <c r="F765" s="7"/>
      <c r="G765" s="8"/>
      <c r="H765" s="7"/>
      <c r="K765" s="6"/>
    </row>
    <row r="766" spans="1:11" x14ac:dyDescent="0.2">
      <c r="A766" s="6"/>
      <c r="B766" s="7"/>
      <c r="C766" s="7"/>
      <c r="D766" s="7"/>
      <c r="E766" s="7"/>
      <c r="F766" s="7"/>
      <c r="G766" s="8"/>
      <c r="H766" s="7"/>
      <c r="K766" s="6"/>
    </row>
    <row r="767" spans="1:11" x14ac:dyDescent="0.2">
      <c r="A767" s="6"/>
      <c r="B767" s="7"/>
      <c r="C767" s="7"/>
      <c r="D767" s="7"/>
      <c r="E767" s="7"/>
      <c r="F767" s="7"/>
      <c r="G767" s="8"/>
      <c r="H767" s="7"/>
      <c r="K767" s="6"/>
    </row>
    <row r="768" spans="1:11" x14ac:dyDescent="0.2">
      <c r="A768" s="6"/>
      <c r="B768" s="7"/>
      <c r="C768" s="7"/>
      <c r="D768" s="7"/>
      <c r="E768" s="7"/>
      <c r="F768" s="7"/>
      <c r="G768" s="8"/>
      <c r="H768" s="7"/>
      <c r="K768" s="6"/>
    </row>
    <row r="769" spans="1:11" x14ac:dyDescent="0.2">
      <c r="A769" s="6"/>
      <c r="B769" s="7"/>
      <c r="C769" s="7"/>
      <c r="D769" s="7"/>
      <c r="E769" s="7"/>
      <c r="F769" s="7"/>
      <c r="G769" s="8"/>
      <c r="H769" s="7"/>
      <c r="K769" s="6"/>
    </row>
    <row r="770" spans="1:11" x14ac:dyDescent="0.2">
      <c r="A770" s="6"/>
      <c r="B770" s="7"/>
      <c r="C770" s="7"/>
      <c r="D770" s="7"/>
      <c r="E770" s="7"/>
      <c r="F770" s="7"/>
      <c r="G770" s="8"/>
      <c r="K770" s="6"/>
    </row>
    <row r="771" spans="1:11" x14ac:dyDescent="0.2">
      <c r="A771" s="6"/>
      <c r="B771" s="7"/>
      <c r="C771" s="7"/>
      <c r="D771" s="7"/>
      <c r="E771" s="7"/>
      <c r="F771" s="7"/>
      <c r="G771" s="8"/>
      <c r="H771" s="7"/>
      <c r="K771" s="6"/>
    </row>
    <row r="772" spans="1:11" x14ac:dyDescent="0.2">
      <c r="A772" s="6"/>
      <c r="B772" s="7"/>
      <c r="C772" s="7"/>
      <c r="D772" s="7"/>
      <c r="E772" s="7"/>
      <c r="F772" s="7"/>
      <c r="G772" s="8"/>
      <c r="H772" s="7"/>
      <c r="K772" s="6"/>
    </row>
    <row r="773" spans="1:11" x14ac:dyDescent="0.2">
      <c r="A773" s="6"/>
      <c r="B773" s="7"/>
      <c r="C773" s="7"/>
      <c r="D773" s="7"/>
      <c r="E773" s="7"/>
      <c r="F773" s="7"/>
      <c r="G773" s="8"/>
      <c r="H773" s="7"/>
      <c r="K773" s="6"/>
    </row>
    <row r="774" spans="1:11" x14ac:dyDescent="0.2">
      <c r="A774" s="6"/>
      <c r="B774" s="7"/>
      <c r="C774" s="7"/>
      <c r="D774" s="7"/>
      <c r="E774" s="7"/>
      <c r="F774" s="7"/>
      <c r="G774" s="8"/>
      <c r="H774" s="7"/>
      <c r="K774" s="6"/>
    </row>
    <row r="775" spans="1:11" x14ac:dyDescent="0.2">
      <c r="A775" s="6"/>
      <c r="B775" s="7"/>
      <c r="C775" s="7"/>
      <c r="D775" s="7"/>
      <c r="E775" s="7"/>
      <c r="F775" s="7"/>
      <c r="G775" s="8"/>
      <c r="H775" s="7"/>
      <c r="K775" s="6"/>
    </row>
    <row r="776" spans="1:11" x14ac:dyDescent="0.2">
      <c r="A776" s="6"/>
      <c r="B776" s="7"/>
      <c r="C776" s="7"/>
      <c r="D776" s="7"/>
      <c r="E776" s="7"/>
      <c r="F776" s="7"/>
      <c r="G776" s="8"/>
      <c r="H776" s="7"/>
      <c r="K776" s="6"/>
    </row>
    <row r="777" spans="1:11" x14ac:dyDescent="0.2">
      <c r="A777" s="6"/>
      <c r="B777" s="7"/>
      <c r="C777" s="7"/>
      <c r="D777" s="7"/>
      <c r="E777" s="7"/>
      <c r="F777" s="7"/>
      <c r="G777" s="8"/>
      <c r="H777" s="7"/>
      <c r="K777" s="6"/>
    </row>
    <row r="778" spans="1:11" x14ac:dyDescent="0.2">
      <c r="A778" s="6"/>
      <c r="B778" s="7"/>
      <c r="C778" s="7"/>
      <c r="D778" s="7"/>
      <c r="E778" s="7"/>
      <c r="F778" s="7"/>
      <c r="G778" s="8"/>
      <c r="H778" s="7"/>
      <c r="K778" s="6"/>
    </row>
    <row r="779" spans="1:11" x14ac:dyDescent="0.2">
      <c r="A779" s="6"/>
      <c r="B779" s="7"/>
      <c r="C779" s="7"/>
      <c r="D779" s="7"/>
      <c r="E779" s="7"/>
      <c r="F779" s="7"/>
      <c r="G779" s="8"/>
      <c r="H779" s="7"/>
      <c r="K779" s="6"/>
    </row>
    <row r="780" spans="1:11" x14ac:dyDescent="0.2">
      <c r="A780" s="6"/>
      <c r="B780" s="7"/>
      <c r="C780" s="7"/>
      <c r="D780" s="7"/>
      <c r="E780" s="7"/>
      <c r="F780" s="7"/>
      <c r="G780" s="8"/>
      <c r="H780" s="7"/>
      <c r="K780" s="6"/>
    </row>
    <row r="781" spans="1:11" x14ac:dyDescent="0.2">
      <c r="A781" s="6"/>
      <c r="B781" s="7"/>
      <c r="C781" s="7"/>
      <c r="D781" s="7"/>
      <c r="E781" s="7"/>
      <c r="F781" s="7"/>
      <c r="G781" s="8"/>
      <c r="H781" s="7"/>
      <c r="K781" s="6"/>
    </row>
    <row r="782" spans="1:11" x14ac:dyDescent="0.2">
      <c r="A782" s="6"/>
      <c r="B782" s="7"/>
      <c r="C782" s="7"/>
      <c r="D782" s="7"/>
      <c r="E782" s="7"/>
      <c r="F782" s="7"/>
      <c r="G782" s="8"/>
      <c r="H782" s="7"/>
      <c r="K782" s="6"/>
    </row>
    <row r="783" spans="1:11" x14ac:dyDescent="0.2">
      <c r="A783" s="6"/>
      <c r="B783" s="7"/>
      <c r="C783" s="7"/>
      <c r="D783" s="7"/>
      <c r="E783" s="7"/>
      <c r="F783" s="7"/>
      <c r="G783" s="8"/>
      <c r="H783" s="7"/>
      <c r="K783" s="6"/>
    </row>
    <row r="784" spans="1:11" x14ac:dyDescent="0.2">
      <c r="A784" s="6"/>
      <c r="B784" s="7"/>
      <c r="C784" s="7"/>
      <c r="D784" s="7"/>
      <c r="E784" s="7"/>
      <c r="F784" s="7"/>
      <c r="G784" s="8"/>
      <c r="H784" s="7"/>
      <c r="K784" s="6"/>
    </row>
    <row r="785" spans="1:11" x14ac:dyDescent="0.2">
      <c r="A785" s="6"/>
      <c r="B785" s="7"/>
      <c r="C785" s="7"/>
      <c r="D785" s="7"/>
      <c r="E785" s="7"/>
      <c r="F785" s="7"/>
      <c r="G785" s="8"/>
      <c r="H785" s="7"/>
      <c r="K785" s="6"/>
    </row>
    <row r="786" spans="1:11" x14ac:dyDescent="0.2">
      <c r="A786" s="6"/>
      <c r="B786" s="7"/>
      <c r="C786" s="7"/>
      <c r="D786" s="7"/>
      <c r="E786" s="7"/>
      <c r="F786" s="7"/>
      <c r="G786" s="8"/>
      <c r="H786" s="7"/>
      <c r="K786" s="6"/>
    </row>
    <row r="787" spans="1:11" x14ac:dyDescent="0.2">
      <c r="A787" s="6"/>
      <c r="B787" s="7"/>
      <c r="C787" s="7"/>
      <c r="D787" s="7"/>
      <c r="E787" s="7"/>
      <c r="F787" s="7"/>
      <c r="G787" s="8"/>
      <c r="H787" s="7"/>
      <c r="K787" s="6"/>
    </row>
    <row r="788" spans="1:11" x14ac:dyDescent="0.2">
      <c r="A788" s="6"/>
      <c r="B788" s="7"/>
      <c r="C788" s="7"/>
      <c r="D788" s="7"/>
      <c r="E788" s="7"/>
      <c r="F788" s="7"/>
      <c r="G788" s="8"/>
      <c r="H788" s="7"/>
      <c r="K788" s="6"/>
    </row>
    <row r="789" spans="1:11" x14ac:dyDescent="0.2">
      <c r="A789" s="6"/>
      <c r="B789" s="7"/>
      <c r="C789" s="7"/>
      <c r="D789" s="7"/>
      <c r="E789" s="7"/>
      <c r="F789" s="7"/>
      <c r="G789" s="8"/>
      <c r="H789" s="7"/>
      <c r="K789" s="6"/>
    </row>
    <row r="790" spans="1:11" x14ac:dyDescent="0.2">
      <c r="A790" s="6"/>
      <c r="B790" s="7"/>
      <c r="C790" s="7"/>
      <c r="D790" s="7"/>
      <c r="E790" s="7"/>
      <c r="F790" s="7"/>
      <c r="G790" s="8"/>
      <c r="H790" s="7"/>
      <c r="K790" s="6"/>
    </row>
    <row r="791" spans="1:11" x14ac:dyDescent="0.2">
      <c r="A791" s="6"/>
      <c r="B791" s="7"/>
      <c r="C791" s="7"/>
      <c r="D791" s="7"/>
      <c r="E791" s="7"/>
      <c r="F791" s="7"/>
      <c r="G791" s="8"/>
      <c r="H791" s="7"/>
      <c r="K791" s="6"/>
    </row>
    <row r="792" spans="1:11" x14ac:dyDescent="0.2">
      <c r="A792" s="6"/>
      <c r="B792" s="7"/>
      <c r="C792" s="7"/>
      <c r="D792" s="7"/>
      <c r="E792" s="7"/>
      <c r="F792" s="7"/>
      <c r="G792" s="8"/>
      <c r="H792" s="7"/>
      <c r="K792" s="6"/>
    </row>
    <row r="793" spans="1:11" x14ac:dyDescent="0.2">
      <c r="A793" s="6"/>
      <c r="B793" s="7"/>
      <c r="C793" s="7"/>
      <c r="D793" s="7"/>
      <c r="E793" s="7"/>
      <c r="F793" s="7"/>
      <c r="G793" s="8"/>
      <c r="H793" s="7"/>
      <c r="K793" s="6"/>
    </row>
    <row r="794" spans="1:11" x14ac:dyDescent="0.2">
      <c r="A794" s="6"/>
      <c r="B794" s="7"/>
      <c r="C794" s="7"/>
      <c r="D794" s="7"/>
      <c r="E794" s="7"/>
      <c r="F794" s="7"/>
      <c r="G794" s="8"/>
      <c r="H794" s="7"/>
      <c r="K794" s="6"/>
    </row>
    <row r="795" spans="1:11" x14ac:dyDescent="0.2">
      <c r="A795" s="6"/>
      <c r="B795" s="7"/>
      <c r="C795" s="7"/>
      <c r="D795" s="7"/>
      <c r="E795" s="7"/>
      <c r="F795" s="7"/>
      <c r="G795" s="8"/>
      <c r="H795" s="7"/>
      <c r="K795" s="6"/>
    </row>
    <row r="796" spans="1:11" x14ac:dyDescent="0.2">
      <c r="A796" s="6"/>
      <c r="B796" s="7"/>
      <c r="C796" s="7"/>
      <c r="D796" s="7"/>
      <c r="E796" s="7"/>
      <c r="F796" s="7"/>
      <c r="G796" s="8"/>
      <c r="H796" s="7"/>
      <c r="K796" s="6"/>
    </row>
    <row r="797" spans="1:11" x14ac:dyDescent="0.2">
      <c r="A797" s="6"/>
      <c r="B797" s="7"/>
      <c r="C797" s="7"/>
      <c r="D797" s="7"/>
      <c r="E797" s="7"/>
      <c r="F797" s="7"/>
      <c r="G797" s="8"/>
      <c r="H797" s="7"/>
      <c r="K797" s="6"/>
    </row>
    <row r="798" spans="1:11" x14ac:dyDescent="0.2">
      <c r="A798" s="6"/>
      <c r="B798" s="7"/>
      <c r="C798" s="7"/>
      <c r="D798" s="7"/>
      <c r="E798" s="7"/>
      <c r="F798" s="7"/>
      <c r="G798" s="8"/>
      <c r="H798" s="7"/>
      <c r="K798" s="6"/>
    </row>
    <row r="799" spans="1:11" x14ac:dyDescent="0.2">
      <c r="A799" s="6"/>
      <c r="B799" s="7"/>
      <c r="C799" s="7"/>
      <c r="D799" s="7"/>
      <c r="E799" s="7"/>
      <c r="F799" s="7"/>
      <c r="G799" s="8"/>
      <c r="H799" s="7"/>
      <c r="K799" s="6"/>
    </row>
    <row r="800" spans="1:11" x14ac:dyDescent="0.2">
      <c r="A800" s="6"/>
      <c r="B800" s="7"/>
      <c r="C800" s="7"/>
      <c r="D800" s="7"/>
      <c r="E800" s="7"/>
      <c r="F800" s="7"/>
      <c r="G800" s="8"/>
      <c r="H800" s="7"/>
      <c r="K800" s="6"/>
    </row>
    <row r="801" spans="1:11" x14ac:dyDescent="0.2">
      <c r="A801" s="6"/>
      <c r="B801" s="7"/>
      <c r="C801" s="7"/>
      <c r="D801" s="7"/>
      <c r="E801" s="7"/>
      <c r="F801" s="7"/>
      <c r="G801" s="8"/>
      <c r="H801" s="7"/>
      <c r="K801" s="6"/>
    </row>
    <row r="802" spans="1:11" x14ac:dyDescent="0.2">
      <c r="A802" s="6"/>
      <c r="B802" s="7"/>
      <c r="C802" s="7"/>
      <c r="D802" s="7"/>
      <c r="E802" s="7"/>
      <c r="F802" s="7"/>
      <c r="G802" s="8"/>
      <c r="H802" s="7"/>
      <c r="K802" s="6"/>
    </row>
    <row r="803" spans="1:11" x14ac:dyDescent="0.2">
      <c r="A803" s="6"/>
      <c r="B803" s="7"/>
      <c r="C803" s="7"/>
      <c r="D803" s="7"/>
      <c r="E803" s="7"/>
      <c r="F803" s="7"/>
      <c r="G803" s="8"/>
      <c r="H803" s="7"/>
      <c r="K803" s="6"/>
    </row>
    <row r="804" spans="1:11" x14ac:dyDescent="0.2">
      <c r="A804" s="6"/>
      <c r="B804" s="7"/>
      <c r="C804" s="7"/>
      <c r="D804" s="7"/>
      <c r="E804" s="7"/>
      <c r="F804" s="7"/>
      <c r="G804" s="8"/>
      <c r="H804" s="7"/>
      <c r="K804" s="6"/>
    </row>
    <row r="805" spans="1:11" x14ac:dyDescent="0.2">
      <c r="A805" s="6"/>
      <c r="B805" s="7"/>
      <c r="C805" s="7"/>
      <c r="D805" s="7"/>
      <c r="E805" s="7"/>
      <c r="F805" s="7"/>
      <c r="G805" s="8"/>
      <c r="H805" s="7"/>
      <c r="K805" s="6"/>
    </row>
    <row r="806" spans="1:11" x14ac:dyDescent="0.2">
      <c r="A806" s="6"/>
      <c r="B806" s="7"/>
      <c r="C806" s="7"/>
      <c r="D806" s="7"/>
      <c r="E806" s="7"/>
      <c r="F806" s="7"/>
      <c r="G806" s="8"/>
      <c r="H806" s="7"/>
      <c r="K806" s="6"/>
    </row>
    <row r="807" spans="1:11" x14ac:dyDescent="0.2">
      <c r="A807" s="6"/>
      <c r="B807" s="7"/>
      <c r="C807" s="7"/>
      <c r="D807" s="7"/>
      <c r="E807" s="7"/>
      <c r="F807" s="7"/>
      <c r="G807" s="8"/>
      <c r="H807" s="7"/>
      <c r="K807" s="6"/>
    </row>
    <row r="808" spans="1:11" x14ac:dyDescent="0.2">
      <c r="A808" s="6"/>
      <c r="B808" s="7"/>
      <c r="C808" s="7"/>
      <c r="D808" s="7"/>
      <c r="E808" s="7"/>
      <c r="F808" s="7"/>
      <c r="G808" s="8"/>
      <c r="H808" s="7"/>
      <c r="K808" s="6"/>
    </row>
    <row r="809" spans="1:11" x14ac:dyDescent="0.2">
      <c r="A809" s="6"/>
      <c r="B809" s="7"/>
      <c r="C809" s="7"/>
      <c r="D809" s="7"/>
      <c r="E809" s="7"/>
      <c r="F809" s="7"/>
      <c r="G809" s="8"/>
      <c r="H809" s="7"/>
      <c r="K809" s="6"/>
    </row>
    <row r="810" spans="1:11" x14ac:dyDescent="0.2">
      <c r="A810" s="6"/>
      <c r="B810" s="7"/>
      <c r="C810" s="7"/>
      <c r="D810" s="7"/>
      <c r="E810" s="7"/>
      <c r="F810" s="7"/>
      <c r="G810" s="8"/>
      <c r="H810" s="7"/>
      <c r="K810" s="6"/>
    </row>
    <row r="811" spans="1:11" x14ac:dyDescent="0.2">
      <c r="A811" s="6"/>
      <c r="B811" s="7"/>
      <c r="C811" s="7"/>
      <c r="D811" s="7"/>
      <c r="E811" s="7"/>
      <c r="F811" s="7"/>
      <c r="G811" s="8"/>
      <c r="H811" s="7"/>
      <c r="K811" s="6"/>
    </row>
    <row r="812" spans="1:11" x14ac:dyDescent="0.2">
      <c r="A812" s="6"/>
      <c r="B812" s="7"/>
      <c r="C812" s="7"/>
      <c r="D812" s="7"/>
      <c r="E812" s="7"/>
      <c r="F812" s="7"/>
      <c r="G812" s="8"/>
      <c r="H812" s="7"/>
      <c r="K812" s="6"/>
    </row>
    <row r="813" spans="1:11" x14ac:dyDescent="0.2">
      <c r="A813" s="6"/>
      <c r="B813" s="7"/>
      <c r="C813" s="7"/>
      <c r="D813" s="7"/>
      <c r="E813" s="7"/>
      <c r="F813" s="7"/>
      <c r="G813" s="8"/>
      <c r="H813" s="7"/>
      <c r="K813" s="6"/>
    </row>
    <row r="814" spans="1:11" x14ac:dyDescent="0.2">
      <c r="A814" s="6"/>
      <c r="B814" s="7"/>
      <c r="C814" s="7"/>
      <c r="D814" s="7"/>
      <c r="E814" s="7"/>
      <c r="F814" s="7"/>
      <c r="G814" s="8"/>
      <c r="H814" s="7"/>
      <c r="K814" s="6"/>
    </row>
    <row r="815" spans="1:11" x14ac:dyDescent="0.2">
      <c r="A815" s="6"/>
      <c r="B815" s="7"/>
      <c r="C815" s="7"/>
      <c r="D815" s="7"/>
      <c r="E815" s="7"/>
      <c r="F815" s="7"/>
      <c r="G815" s="8"/>
      <c r="H815" s="7"/>
      <c r="K815" s="6"/>
    </row>
    <row r="816" spans="1:11" x14ac:dyDescent="0.2">
      <c r="A816" s="6"/>
      <c r="B816" s="7"/>
      <c r="C816" s="7"/>
      <c r="D816" s="7"/>
      <c r="E816" s="7"/>
      <c r="F816" s="7"/>
      <c r="G816" s="8"/>
      <c r="H816" s="7"/>
      <c r="K816" s="6"/>
    </row>
    <row r="817" spans="1:11" x14ac:dyDescent="0.2">
      <c r="A817" s="6"/>
      <c r="B817" s="7"/>
      <c r="C817" s="7"/>
      <c r="D817" s="7"/>
      <c r="E817" s="7"/>
      <c r="F817" s="7"/>
      <c r="G817" s="8"/>
      <c r="H817" s="7"/>
      <c r="K817" s="6"/>
    </row>
    <row r="818" spans="1:11" x14ac:dyDescent="0.2">
      <c r="A818" s="6"/>
      <c r="B818" s="7"/>
      <c r="C818" s="7"/>
      <c r="D818" s="7"/>
      <c r="E818" s="7"/>
      <c r="F818" s="7"/>
      <c r="G818" s="8"/>
      <c r="H818" s="7"/>
      <c r="K818" s="6"/>
    </row>
    <row r="819" spans="1:11" x14ac:dyDescent="0.2">
      <c r="A819" s="6"/>
      <c r="B819" s="7"/>
      <c r="C819" s="7"/>
      <c r="D819" s="7"/>
      <c r="E819" s="7"/>
      <c r="F819" s="7"/>
      <c r="G819" s="8"/>
      <c r="H819" s="7"/>
      <c r="K819" s="6"/>
    </row>
    <row r="820" spans="1:11" x14ac:dyDescent="0.2">
      <c r="A820" s="6"/>
      <c r="B820" s="7"/>
      <c r="C820" s="7"/>
      <c r="D820" s="7"/>
      <c r="E820" s="7"/>
      <c r="F820" s="7"/>
      <c r="G820" s="8"/>
      <c r="H820" s="7"/>
      <c r="K820" s="6"/>
    </row>
    <row r="821" spans="1:11" x14ac:dyDescent="0.2">
      <c r="A821" s="6"/>
      <c r="B821" s="7"/>
      <c r="H821" s="7"/>
      <c r="K821" s="6"/>
    </row>
    <row r="822" spans="1:11" x14ac:dyDescent="0.2">
      <c r="A822" s="6"/>
      <c r="B822" s="7"/>
      <c r="C822" s="7"/>
      <c r="D822" s="7"/>
      <c r="E822" s="7"/>
      <c r="F822" s="7"/>
      <c r="G822" s="8"/>
      <c r="H822" s="7"/>
      <c r="K822" s="6"/>
    </row>
    <row r="823" spans="1:11" x14ac:dyDescent="0.2">
      <c r="A823" s="6"/>
      <c r="B823" s="7"/>
      <c r="C823" s="7"/>
      <c r="D823" s="7"/>
      <c r="E823" s="7"/>
      <c r="F823" s="7"/>
      <c r="G823" s="8"/>
      <c r="H823" s="7"/>
      <c r="K823" s="6"/>
    </row>
    <row r="824" spans="1:11" x14ac:dyDescent="0.2">
      <c r="A824" s="6"/>
      <c r="B824" s="7"/>
      <c r="C824" s="7"/>
      <c r="D824" s="7"/>
      <c r="E824" s="7"/>
      <c r="F824" s="7"/>
      <c r="G824" s="8"/>
      <c r="H824" s="7"/>
      <c r="K824" s="6"/>
    </row>
    <row r="825" spans="1:11" x14ac:dyDescent="0.2">
      <c r="A825" s="6"/>
      <c r="B825" s="7"/>
      <c r="C825" s="7"/>
      <c r="D825" s="7"/>
      <c r="E825" s="7"/>
      <c r="F825" s="7"/>
      <c r="G825" s="8"/>
      <c r="H825" s="7"/>
      <c r="K825" s="6"/>
    </row>
    <row r="826" spans="1:11" x14ac:dyDescent="0.2">
      <c r="A826" s="6"/>
      <c r="B826" s="7"/>
      <c r="C826" s="7"/>
      <c r="D826" s="7"/>
      <c r="E826" s="7"/>
      <c r="F826" s="7"/>
      <c r="G826" s="8"/>
      <c r="H826" s="7"/>
      <c r="K826" s="6"/>
    </row>
    <row r="827" spans="1:11" x14ac:dyDescent="0.2">
      <c r="A827" s="6"/>
      <c r="B827" s="7"/>
      <c r="C827" s="7"/>
      <c r="D827" s="7"/>
      <c r="E827" s="7"/>
      <c r="F827" s="7"/>
      <c r="G827" s="8"/>
      <c r="H827" s="7"/>
      <c r="K827" s="6"/>
    </row>
    <row r="828" spans="1:11" x14ac:dyDescent="0.2">
      <c r="A828" s="6"/>
      <c r="B828" s="7"/>
      <c r="C828" s="7"/>
      <c r="D828" s="7"/>
      <c r="E828" s="7"/>
      <c r="F828" s="7"/>
      <c r="G828" s="8"/>
      <c r="H828" s="7"/>
      <c r="K828" s="6"/>
    </row>
    <row r="829" spans="1:11" x14ac:dyDescent="0.2">
      <c r="A829" s="6"/>
      <c r="B829" s="7"/>
      <c r="C829" s="7"/>
      <c r="D829" s="7"/>
      <c r="E829" s="7"/>
      <c r="F829" s="7"/>
      <c r="G829" s="8"/>
      <c r="H829" s="7"/>
      <c r="K829" s="6"/>
    </row>
    <row r="830" spans="1:11" x14ac:dyDescent="0.2">
      <c r="A830" s="6"/>
      <c r="B830" s="7"/>
      <c r="C830" s="7"/>
      <c r="D830" s="7"/>
      <c r="E830" s="7"/>
      <c r="F830" s="7"/>
      <c r="G830" s="8"/>
      <c r="K830" s="6"/>
    </row>
    <row r="831" spans="1:11" x14ac:dyDescent="0.2">
      <c r="A831" s="6"/>
      <c r="B831" s="7"/>
      <c r="C831" s="7"/>
      <c r="D831" s="7"/>
      <c r="E831" s="7"/>
      <c r="F831" s="7"/>
      <c r="G831" s="8"/>
      <c r="H831" s="7"/>
      <c r="K831" s="6"/>
    </row>
    <row r="832" spans="1:11" x14ac:dyDescent="0.2">
      <c r="A832" s="6"/>
      <c r="B832" s="7"/>
      <c r="C832" s="7"/>
      <c r="D832" s="7"/>
      <c r="E832" s="7"/>
      <c r="F832" s="7"/>
      <c r="G832" s="8"/>
      <c r="H832" s="7"/>
      <c r="K832" s="6"/>
    </row>
    <row r="833" spans="1:11" x14ac:dyDescent="0.2">
      <c r="A833" s="6"/>
      <c r="B833" s="7"/>
      <c r="C833" s="7"/>
      <c r="D833" s="7"/>
      <c r="E833" s="7"/>
      <c r="F833" s="7"/>
      <c r="G833" s="8"/>
      <c r="H833" s="7"/>
      <c r="K833" s="6"/>
    </row>
    <row r="834" spans="1:11" x14ac:dyDescent="0.2">
      <c r="A834" s="6"/>
      <c r="B834" s="7"/>
      <c r="C834" s="7"/>
      <c r="D834" s="7"/>
      <c r="E834" s="7"/>
      <c r="F834" s="7"/>
      <c r="G834" s="8"/>
      <c r="H834" s="7"/>
      <c r="K834" s="6"/>
    </row>
    <row r="835" spans="1:11" x14ac:dyDescent="0.2">
      <c r="A835" s="6"/>
      <c r="B835" s="7"/>
      <c r="C835" s="7"/>
      <c r="D835" s="7"/>
      <c r="E835" s="7"/>
      <c r="F835" s="7"/>
      <c r="G835" s="8"/>
      <c r="H835" s="7"/>
      <c r="K835" s="6"/>
    </row>
    <row r="836" spans="1:11" x14ac:dyDescent="0.2">
      <c r="A836" s="6"/>
      <c r="B836" s="7"/>
      <c r="C836" s="7"/>
      <c r="D836" s="7"/>
      <c r="E836" s="7"/>
      <c r="F836" s="7"/>
      <c r="G836" s="8"/>
      <c r="H836" s="7"/>
      <c r="K836" s="6"/>
    </row>
    <row r="837" spans="1:11" x14ac:dyDescent="0.2">
      <c r="A837" s="6"/>
      <c r="B837" s="7"/>
      <c r="C837" s="7"/>
      <c r="D837" s="7"/>
      <c r="E837" s="7"/>
      <c r="F837" s="7"/>
      <c r="G837" s="8"/>
      <c r="H837" s="7"/>
      <c r="K837" s="6"/>
    </row>
    <row r="838" spans="1:11" x14ac:dyDescent="0.2">
      <c r="A838" s="6"/>
      <c r="B838" s="7"/>
      <c r="C838" s="7"/>
      <c r="D838" s="7"/>
      <c r="E838" s="7"/>
      <c r="F838" s="7"/>
      <c r="G838" s="8"/>
      <c r="H838" s="7"/>
      <c r="K838" s="6"/>
    </row>
    <row r="839" spans="1:11" x14ac:dyDescent="0.2">
      <c r="A839" s="6"/>
      <c r="B839" s="7"/>
      <c r="C839" s="7"/>
      <c r="D839" s="7"/>
      <c r="E839" s="7"/>
      <c r="F839" s="7"/>
      <c r="G839" s="8"/>
      <c r="H839" s="7"/>
      <c r="K839" s="6"/>
    </row>
    <row r="840" spans="1:11" x14ac:dyDescent="0.2">
      <c r="A840" s="6"/>
      <c r="B840" s="7"/>
      <c r="C840" s="7"/>
      <c r="D840" s="7"/>
      <c r="E840" s="7"/>
      <c r="F840" s="7"/>
      <c r="G840" s="8"/>
      <c r="H840" s="7"/>
      <c r="K840" s="6"/>
    </row>
    <row r="841" spans="1:11" x14ac:dyDescent="0.2">
      <c r="A841" s="6"/>
      <c r="B841" s="7"/>
      <c r="C841" s="7"/>
      <c r="D841" s="7"/>
      <c r="E841" s="7"/>
      <c r="F841" s="7"/>
      <c r="G841" s="8"/>
      <c r="H841" s="7"/>
      <c r="K841" s="6"/>
    </row>
    <row r="842" spans="1:11" x14ac:dyDescent="0.2">
      <c r="A842" s="6"/>
      <c r="B842" s="7"/>
      <c r="C842" s="7"/>
      <c r="D842" s="7"/>
      <c r="E842" s="7"/>
      <c r="F842" s="7"/>
      <c r="G842" s="8"/>
      <c r="H842" s="7"/>
      <c r="K842" s="6"/>
    </row>
    <row r="843" spans="1:11" x14ac:dyDescent="0.2">
      <c r="A843" s="6"/>
      <c r="B843" s="7"/>
      <c r="C843" s="7"/>
      <c r="D843" s="7"/>
      <c r="E843" s="7"/>
      <c r="F843" s="7"/>
      <c r="G843" s="8"/>
      <c r="H843" s="7"/>
      <c r="K843" s="6"/>
    </row>
    <row r="844" spans="1:11" x14ac:dyDescent="0.2">
      <c r="A844" s="6"/>
      <c r="B844" s="7"/>
      <c r="C844" s="7"/>
      <c r="D844" s="7"/>
      <c r="E844" s="7"/>
      <c r="F844" s="7"/>
      <c r="G844" s="8"/>
      <c r="H844" s="7"/>
      <c r="K844" s="6"/>
    </row>
    <row r="845" spans="1:11" x14ac:dyDescent="0.2">
      <c r="A845" s="6"/>
      <c r="B845" s="7"/>
      <c r="C845" s="7"/>
      <c r="D845" s="7"/>
      <c r="E845" s="7"/>
      <c r="F845" s="7"/>
      <c r="G845" s="8"/>
      <c r="H845" s="7"/>
      <c r="K845" s="6"/>
    </row>
    <row r="846" spans="1:11" x14ac:dyDescent="0.2">
      <c r="A846" s="6"/>
      <c r="B846" s="7"/>
      <c r="C846" s="7"/>
      <c r="D846" s="7"/>
      <c r="E846" s="7"/>
      <c r="F846" s="7"/>
      <c r="G846" s="8"/>
      <c r="H846" s="7"/>
      <c r="K846" s="6"/>
    </row>
    <row r="847" spans="1:11" x14ac:dyDescent="0.2">
      <c r="A847" s="6"/>
      <c r="B847" s="7"/>
      <c r="C847" s="7"/>
      <c r="D847" s="7"/>
      <c r="E847" s="7"/>
      <c r="F847" s="7"/>
      <c r="G847" s="8"/>
      <c r="H847" s="7"/>
      <c r="K847" s="6"/>
    </row>
    <row r="848" spans="1:11" x14ac:dyDescent="0.2">
      <c r="A848" s="6"/>
      <c r="B848" s="7"/>
      <c r="C848" s="7"/>
      <c r="D848" s="7"/>
      <c r="E848" s="7"/>
      <c r="F848" s="7"/>
      <c r="G848" s="8"/>
      <c r="H848" s="7"/>
      <c r="K848" s="6"/>
    </row>
    <row r="849" spans="1:11" x14ac:dyDescent="0.2">
      <c r="A849" s="6"/>
      <c r="B849" s="7"/>
      <c r="C849" s="7"/>
      <c r="D849" s="7"/>
      <c r="E849" s="7"/>
      <c r="F849" s="7"/>
      <c r="G849" s="8"/>
      <c r="H849" s="7"/>
      <c r="K849" s="6"/>
    </row>
    <row r="850" spans="1:11" x14ac:dyDescent="0.2">
      <c r="A850" s="6"/>
      <c r="B850" s="7"/>
      <c r="C850" s="7"/>
      <c r="D850" s="7"/>
      <c r="E850" s="7"/>
      <c r="F850" s="7"/>
      <c r="G850" s="8"/>
      <c r="H850" s="7"/>
      <c r="K850" s="6"/>
    </row>
    <row r="851" spans="1:11" x14ac:dyDescent="0.2">
      <c r="A851" s="6"/>
      <c r="B851" s="7"/>
      <c r="C851" s="7"/>
      <c r="D851" s="7"/>
      <c r="E851" s="7"/>
      <c r="F851" s="7"/>
      <c r="G851" s="8"/>
      <c r="H851" s="7"/>
      <c r="K851" s="6"/>
    </row>
    <row r="852" spans="1:11" x14ac:dyDescent="0.2">
      <c r="A852" s="6"/>
      <c r="B852" s="7"/>
      <c r="C852" s="7"/>
      <c r="D852" s="7"/>
      <c r="E852" s="7"/>
      <c r="F852" s="7"/>
      <c r="G852" s="8"/>
      <c r="H852" s="7"/>
      <c r="K852" s="6"/>
    </row>
    <row r="853" spans="1:11" x14ac:dyDescent="0.2">
      <c r="A853" s="6"/>
      <c r="B853" s="7"/>
      <c r="C853" s="7"/>
      <c r="D853" s="7"/>
      <c r="E853" s="7"/>
      <c r="F853" s="7"/>
      <c r="G853" s="8"/>
      <c r="H853" s="7"/>
      <c r="K853" s="6"/>
    </row>
    <row r="854" spans="1:11" x14ac:dyDescent="0.2">
      <c r="A854" s="6"/>
      <c r="B854" s="7"/>
      <c r="C854" s="7"/>
      <c r="D854" s="7"/>
      <c r="E854" s="7"/>
      <c r="F854" s="7"/>
      <c r="G854" s="8"/>
      <c r="H854" s="7"/>
      <c r="K854" s="6"/>
    </row>
    <row r="855" spans="1:11" x14ac:dyDescent="0.2">
      <c r="A855" s="6"/>
      <c r="B855" s="7"/>
      <c r="C855" s="7"/>
      <c r="D855" s="7"/>
      <c r="E855" s="7"/>
      <c r="F855" s="7"/>
      <c r="G855" s="8"/>
      <c r="H855" s="7"/>
      <c r="K855" s="6"/>
    </row>
    <row r="856" spans="1:11" x14ac:dyDescent="0.2">
      <c r="A856" s="6"/>
      <c r="B856" s="7"/>
      <c r="C856" s="7"/>
      <c r="D856" s="7"/>
      <c r="E856" s="7"/>
      <c r="F856" s="7"/>
      <c r="G856" s="8"/>
      <c r="H856" s="7"/>
      <c r="K856" s="6"/>
    </row>
    <row r="857" spans="1:11" x14ac:dyDescent="0.2">
      <c r="A857" s="6"/>
      <c r="B857" s="7"/>
      <c r="C857" s="7"/>
      <c r="D857" s="7"/>
      <c r="E857" s="7"/>
      <c r="F857" s="7"/>
      <c r="G857" s="8"/>
      <c r="H857" s="7"/>
      <c r="K857" s="6"/>
    </row>
    <row r="858" spans="1:11" x14ac:dyDescent="0.2">
      <c r="A858" s="6"/>
      <c r="B858" s="7"/>
      <c r="C858" s="7"/>
      <c r="D858" s="7"/>
      <c r="E858" s="7"/>
      <c r="F858" s="7"/>
      <c r="G858" s="8"/>
      <c r="H858" s="7"/>
      <c r="K858" s="6"/>
    </row>
    <row r="859" spans="1:11" x14ac:dyDescent="0.2">
      <c r="A859" s="6"/>
      <c r="B859" s="7"/>
      <c r="C859" s="7"/>
      <c r="D859" s="7"/>
      <c r="E859" s="7"/>
      <c r="F859" s="7"/>
      <c r="G859" s="8"/>
      <c r="H859" s="7"/>
      <c r="K859" s="6"/>
    </row>
    <row r="860" spans="1:11" x14ac:dyDescent="0.2">
      <c r="A860" s="6"/>
      <c r="B860" s="7"/>
      <c r="C860" s="7"/>
      <c r="D860" s="7"/>
      <c r="E860" s="7"/>
      <c r="F860" s="7"/>
      <c r="G860" s="8"/>
      <c r="H860" s="7"/>
      <c r="K860" s="6"/>
    </row>
    <row r="861" spans="1:11" x14ac:dyDescent="0.2">
      <c r="A861" s="6"/>
      <c r="B861" s="7"/>
      <c r="C861" s="7"/>
      <c r="D861" s="7"/>
      <c r="E861" s="7"/>
      <c r="F861" s="7"/>
      <c r="G861" s="8"/>
      <c r="H861" s="7"/>
      <c r="K861" s="6"/>
    </row>
    <row r="862" spans="1:11" x14ac:dyDescent="0.2">
      <c r="A862" s="6"/>
      <c r="B862" s="7"/>
      <c r="C862" s="7"/>
      <c r="D862" s="7"/>
      <c r="E862" s="7"/>
      <c r="F862" s="7"/>
      <c r="G862" s="8"/>
      <c r="H862" s="7"/>
      <c r="K862" s="6"/>
    </row>
    <row r="863" spans="1:11" x14ac:dyDescent="0.2">
      <c r="A863" s="6"/>
      <c r="B863" s="7"/>
      <c r="C863" s="7"/>
      <c r="D863" s="7"/>
      <c r="E863" s="7"/>
      <c r="F863" s="7"/>
      <c r="G863" s="8"/>
      <c r="H863" s="7"/>
      <c r="K863" s="6"/>
    </row>
    <row r="864" spans="1:11" x14ac:dyDescent="0.2">
      <c r="A864" s="6"/>
      <c r="B864" s="7"/>
      <c r="C864" s="7"/>
      <c r="D864" s="7"/>
      <c r="E864" s="7"/>
      <c r="F864" s="7"/>
      <c r="G864" s="8"/>
      <c r="H864" s="7"/>
      <c r="K864" s="6"/>
    </row>
    <row r="865" spans="1:11" x14ac:dyDescent="0.2">
      <c r="A865" s="6"/>
      <c r="B865" s="7"/>
      <c r="C865" s="7"/>
      <c r="D865" s="7"/>
      <c r="E865" s="7"/>
      <c r="F865" s="7"/>
      <c r="G865" s="8"/>
      <c r="H865" s="7"/>
      <c r="K865" s="6"/>
    </row>
    <row r="866" spans="1:11" x14ac:dyDescent="0.2">
      <c r="A866" s="6"/>
      <c r="B866" s="7"/>
      <c r="C866" s="7"/>
      <c r="D866" s="7"/>
      <c r="E866" s="7"/>
      <c r="F866" s="7"/>
      <c r="G866" s="8"/>
      <c r="H866" s="7"/>
      <c r="K866" s="6"/>
    </row>
    <row r="867" spans="1:11" x14ac:dyDescent="0.2">
      <c r="A867" s="6"/>
      <c r="B867" s="7"/>
      <c r="C867" s="7"/>
      <c r="D867" s="7"/>
      <c r="E867" s="7"/>
      <c r="F867" s="7"/>
      <c r="G867" s="8"/>
      <c r="H867" s="7"/>
      <c r="K867" s="6"/>
    </row>
    <row r="868" spans="1:11" x14ac:dyDescent="0.2">
      <c r="A868" s="6"/>
      <c r="B868" s="7"/>
      <c r="C868" s="7"/>
      <c r="D868" s="7"/>
      <c r="E868" s="7"/>
      <c r="F868" s="7"/>
      <c r="G868" s="8"/>
      <c r="H868" s="7"/>
      <c r="K868" s="6"/>
    </row>
    <row r="869" spans="1:11" x14ac:dyDescent="0.2">
      <c r="A869" s="6"/>
      <c r="B869" s="7"/>
      <c r="C869" s="7"/>
      <c r="D869" s="7"/>
      <c r="E869" s="7"/>
      <c r="F869" s="7"/>
      <c r="G869" s="8"/>
      <c r="H869" s="7"/>
      <c r="K869" s="6"/>
    </row>
    <row r="870" spans="1:11" x14ac:dyDescent="0.2">
      <c r="A870" s="6"/>
      <c r="B870" s="7"/>
      <c r="C870" s="7"/>
      <c r="D870" s="7"/>
      <c r="E870" s="7"/>
      <c r="F870" s="7"/>
      <c r="G870" s="8"/>
      <c r="H870" s="7"/>
      <c r="K870" s="6"/>
    </row>
    <row r="871" spans="1:11" x14ac:dyDescent="0.2">
      <c r="A871" s="6"/>
      <c r="B871" s="7"/>
      <c r="C871" s="7"/>
      <c r="D871" s="7"/>
      <c r="E871" s="7"/>
      <c r="F871" s="7"/>
      <c r="G871" s="8"/>
      <c r="H871" s="7"/>
      <c r="K871" s="6"/>
    </row>
    <row r="872" spans="1:11" x14ac:dyDescent="0.2">
      <c r="A872" s="6"/>
      <c r="B872" s="7"/>
      <c r="C872" s="7"/>
      <c r="D872" s="7"/>
      <c r="E872" s="7"/>
      <c r="F872" s="7"/>
      <c r="G872" s="8"/>
      <c r="H872" s="7"/>
      <c r="K872" s="6"/>
    </row>
    <row r="873" spans="1:11" x14ac:dyDescent="0.2">
      <c r="A873" s="6"/>
      <c r="B873" s="7"/>
      <c r="C873" s="7"/>
      <c r="D873" s="7"/>
      <c r="E873" s="7"/>
      <c r="F873" s="7"/>
      <c r="G873" s="8"/>
      <c r="H873" s="7"/>
      <c r="K873" s="6"/>
    </row>
    <row r="874" spans="1:11" x14ac:dyDescent="0.2">
      <c r="A874" s="6"/>
      <c r="B874" s="7"/>
      <c r="C874" s="7"/>
      <c r="D874" s="7"/>
      <c r="E874" s="7"/>
      <c r="F874" s="7"/>
      <c r="G874" s="8"/>
      <c r="H874" s="7"/>
      <c r="K874" s="6"/>
    </row>
    <row r="875" spans="1:11" x14ac:dyDescent="0.2">
      <c r="A875" s="6"/>
      <c r="B875" s="7"/>
      <c r="C875" s="7"/>
      <c r="D875" s="7"/>
      <c r="E875" s="7"/>
      <c r="F875" s="7"/>
      <c r="G875" s="8"/>
      <c r="H875" s="7"/>
      <c r="K875" s="6"/>
    </row>
    <row r="876" spans="1:11" x14ac:dyDescent="0.2">
      <c r="A876" s="6"/>
      <c r="B876" s="7"/>
      <c r="C876" s="7"/>
      <c r="D876" s="7"/>
      <c r="E876" s="7"/>
      <c r="F876" s="7"/>
      <c r="G876" s="8"/>
      <c r="H876" s="7"/>
      <c r="K876" s="6"/>
    </row>
    <row r="877" spans="1:11" x14ac:dyDescent="0.2">
      <c r="A877" s="6"/>
      <c r="B877" s="7"/>
      <c r="C877" s="7"/>
      <c r="D877" s="7"/>
      <c r="E877" s="7"/>
      <c r="F877" s="7"/>
      <c r="G877" s="8"/>
      <c r="H877" s="7"/>
      <c r="K877" s="6"/>
    </row>
    <row r="878" spans="1:11" x14ac:dyDescent="0.2">
      <c r="A878" s="6"/>
      <c r="B878" s="7"/>
      <c r="C878" s="7"/>
      <c r="D878" s="7"/>
      <c r="E878" s="7"/>
      <c r="F878" s="7"/>
      <c r="G878" s="8"/>
      <c r="H878" s="7"/>
      <c r="K878" s="6"/>
    </row>
    <row r="879" spans="1:11" x14ac:dyDescent="0.2">
      <c r="A879" s="6"/>
      <c r="B879" s="7"/>
      <c r="C879" s="7"/>
      <c r="D879" s="7"/>
      <c r="E879" s="7"/>
      <c r="F879" s="7"/>
      <c r="G879" s="8"/>
      <c r="H879" s="7"/>
      <c r="K879" s="6"/>
    </row>
    <row r="880" spans="1:11" x14ac:dyDescent="0.2">
      <c r="A880" s="6"/>
      <c r="B880" s="7"/>
      <c r="C880" s="7"/>
      <c r="D880" s="7"/>
      <c r="E880" s="7"/>
      <c r="F880" s="7"/>
      <c r="G880" s="8"/>
      <c r="H880" s="7"/>
      <c r="K880" s="6"/>
    </row>
    <row r="881" spans="1:11" x14ac:dyDescent="0.2">
      <c r="A881" s="6"/>
      <c r="B881" s="7"/>
      <c r="C881" s="7"/>
      <c r="D881" s="7"/>
      <c r="E881" s="7"/>
      <c r="F881" s="7"/>
      <c r="G881" s="8"/>
      <c r="H881" s="7"/>
      <c r="K881" s="6"/>
    </row>
    <row r="882" spans="1:11" x14ac:dyDescent="0.2">
      <c r="A882" s="6"/>
      <c r="B882" s="7"/>
      <c r="C882" s="7"/>
      <c r="D882" s="7"/>
      <c r="E882" s="7"/>
      <c r="F882" s="7"/>
      <c r="G882" s="8"/>
      <c r="H882" s="7"/>
      <c r="K882" s="6"/>
    </row>
    <row r="883" spans="1:11" x14ac:dyDescent="0.2">
      <c r="A883" s="6"/>
      <c r="B883" s="7"/>
      <c r="C883" s="7"/>
      <c r="D883" s="7"/>
      <c r="E883" s="7"/>
      <c r="F883" s="7"/>
      <c r="G883" s="8"/>
      <c r="H883" s="7"/>
      <c r="K883" s="6"/>
    </row>
    <row r="884" spans="1:11" x14ac:dyDescent="0.2">
      <c r="A884" s="6"/>
      <c r="B884" s="7"/>
      <c r="C884" s="7"/>
      <c r="D884" s="7"/>
      <c r="E884" s="7"/>
      <c r="F884" s="7"/>
      <c r="G884" s="8"/>
      <c r="H884" s="7"/>
      <c r="K884" s="6"/>
    </row>
    <row r="885" spans="1:11" x14ac:dyDescent="0.2">
      <c r="A885" s="6"/>
      <c r="B885" s="7"/>
      <c r="H885" s="7"/>
      <c r="K885" s="6"/>
    </row>
    <row r="886" spans="1:11" x14ac:dyDescent="0.2">
      <c r="A886" s="6"/>
      <c r="B886" s="7"/>
      <c r="C886" s="7"/>
      <c r="D886" s="7"/>
      <c r="E886" s="7"/>
      <c r="F886" s="7"/>
      <c r="G886" s="8"/>
      <c r="H886" s="7"/>
      <c r="K886" s="6"/>
    </row>
    <row r="887" spans="1:11" x14ac:dyDescent="0.2">
      <c r="A887" s="6"/>
      <c r="B887" s="7"/>
      <c r="C887" s="7"/>
      <c r="D887" s="7"/>
      <c r="E887" s="7"/>
      <c r="F887" s="7"/>
      <c r="G887" s="8"/>
      <c r="H887" s="7"/>
      <c r="K887" s="6"/>
    </row>
    <row r="888" spans="1:11" x14ac:dyDescent="0.2">
      <c r="A888" s="6"/>
      <c r="B888" s="7"/>
      <c r="C888" s="7"/>
      <c r="D888" s="7"/>
      <c r="E888" s="7"/>
      <c r="F888" s="7"/>
      <c r="G888" s="8"/>
      <c r="H888" s="7"/>
      <c r="K888" s="6"/>
    </row>
    <row r="889" spans="1:11" x14ac:dyDescent="0.2">
      <c r="A889" s="6"/>
      <c r="B889" s="7"/>
      <c r="C889" s="7"/>
      <c r="D889" s="7"/>
      <c r="E889" s="7"/>
      <c r="F889" s="7"/>
      <c r="G889" s="8"/>
      <c r="H889" s="7"/>
      <c r="K889" s="6"/>
    </row>
    <row r="890" spans="1:11" x14ac:dyDescent="0.2">
      <c r="A890" s="6"/>
      <c r="B890" s="7"/>
      <c r="C890" s="7"/>
      <c r="D890" s="7"/>
      <c r="E890" s="7"/>
      <c r="F890" s="7"/>
      <c r="G890" s="8"/>
      <c r="H890" s="7"/>
      <c r="K890" s="6"/>
    </row>
    <row r="891" spans="1:11" x14ac:dyDescent="0.2">
      <c r="A891" s="6"/>
      <c r="B891" s="7"/>
      <c r="C891" s="7"/>
      <c r="D891" s="7"/>
      <c r="E891" s="7"/>
      <c r="F891" s="7"/>
      <c r="G891" s="8"/>
      <c r="H891" s="7"/>
      <c r="K891" s="6"/>
    </row>
    <row r="892" spans="1:11" x14ac:dyDescent="0.2">
      <c r="A892" s="6"/>
      <c r="B892" s="7"/>
      <c r="C892" s="7"/>
      <c r="D892" s="7"/>
      <c r="E892" s="7"/>
      <c r="F892" s="7"/>
      <c r="G892" s="8"/>
      <c r="H892" s="7"/>
      <c r="K892" s="6"/>
    </row>
    <row r="893" spans="1:11" x14ac:dyDescent="0.2">
      <c r="A893" s="6"/>
      <c r="B893" s="7"/>
      <c r="C893" s="7"/>
      <c r="D893" s="7"/>
      <c r="E893" s="7"/>
      <c r="F893" s="7"/>
      <c r="G893" s="8"/>
      <c r="K893" s="6"/>
    </row>
    <row r="894" spans="1:11" x14ac:dyDescent="0.2">
      <c r="A894" s="6"/>
      <c r="B894" s="7"/>
      <c r="C894" s="7"/>
      <c r="D894" s="7"/>
      <c r="E894" s="7"/>
      <c r="F894" s="7"/>
      <c r="G894" s="8"/>
      <c r="H894" s="7"/>
      <c r="K894" s="6"/>
    </row>
    <row r="895" spans="1:11" x14ac:dyDescent="0.2">
      <c r="A895" s="6"/>
      <c r="B895" s="7"/>
      <c r="C895" s="7"/>
      <c r="D895" s="7"/>
      <c r="E895" s="7"/>
      <c r="F895" s="7"/>
      <c r="G895" s="8"/>
      <c r="H895" s="7"/>
      <c r="K895" s="6"/>
    </row>
    <row r="896" spans="1:11" x14ac:dyDescent="0.2">
      <c r="A896" s="6"/>
      <c r="B896" s="7"/>
      <c r="C896" s="7"/>
      <c r="D896" s="7"/>
      <c r="E896" s="7"/>
      <c r="F896" s="7"/>
      <c r="G896" s="8"/>
      <c r="H896" s="7"/>
      <c r="K896" s="6"/>
    </row>
    <row r="897" spans="1:11" x14ac:dyDescent="0.2">
      <c r="A897" s="6"/>
      <c r="B897" s="7"/>
      <c r="C897" s="7"/>
      <c r="D897" s="7"/>
      <c r="E897" s="7"/>
      <c r="F897" s="7"/>
      <c r="G897" s="8"/>
      <c r="H897" s="7"/>
      <c r="K897" s="6"/>
    </row>
    <row r="898" spans="1:11" x14ac:dyDescent="0.2">
      <c r="A898" s="6"/>
      <c r="B898" s="7"/>
      <c r="C898" s="7"/>
      <c r="D898" s="7"/>
      <c r="E898" s="7"/>
      <c r="F898" s="7"/>
      <c r="G898" s="8"/>
      <c r="H898" s="7"/>
      <c r="K898" s="6"/>
    </row>
    <row r="899" spans="1:11" x14ac:dyDescent="0.2">
      <c r="A899" s="6"/>
      <c r="B899" s="7"/>
      <c r="C899" s="7"/>
      <c r="D899" s="7"/>
      <c r="E899" s="7"/>
      <c r="F899" s="7"/>
      <c r="G899" s="8"/>
      <c r="H899" s="7"/>
      <c r="K899" s="6"/>
    </row>
    <row r="900" spans="1:11" x14ac:dyDescent="0.2">
      <c r="A900" s="6"/>
      <c r="B900" s="7"/>
      <c r="C900" s="7"/>
      <c r="D900" s="7"/>
      <c r="E900" s="7"/>
      <c r="F900" s="7"/>
      <c r="G900" s="8"/>
      <c r="H900" s="7"/>
      <c r="K900" s="6"/>
    </row>
    <row r="901" spans="1:11" x14ac:dyDescent="0.2">
      <c r="A901" s="6"/>
      <c r="B901" s="7"/>
      <c r="C901" s="7"/>
      <c r="D901" s="7"/>
      <c r="E901" s="7"/>
      <c r="F901" s="7"/>
      <c r="G901" s="8"/>
      <c r="H901" s="7"/>
      <c r="K901" s="6"/>
    </row>
    <row r="902" spans="1:11" x14ac:dyDescent="0.2">
      <c r="A902" s="6"/>
      <c r="B902" s="7"/>
      <c r="C902" s="7"/>
      <c r="D902" s="7"/>
      <c r="E902" s="7"/>
      <c r="F902" s="7"/>
      <c r="G902" s="8"/>
      <c r="H902" s="7"/>
      <c r="K902" s="6"/>
    </row>
    <row r="903" spans="1:11" x14ac:dyDescent="0.2">
      <c r="A903" s="6"/>
      <c r="B903" s="7"/>
      <c r="C903" s="7"/>
      <c r="D903" s="7"/>
      <c r="E903" s="7"/>
      <c r="F903" s="7"/>
      <c r="G903" s="8"/>
      <c r="H903" s="7"/>
      <c r="K903" s="6"/>
    </row>
    <row r="904" spans="1:11" x14ac:dyDescent="0.2">
      <c r="A904" s="6"/>
      <c r="B904" s="7"/>
      <c r="C904" s="7"/>
      <c r="D904" s="7"/>
      <c r="E904" s="7"/>
      <c r="F904" s="7"/>
      <c r="G904" s="8"/>
      <c r="H904" s="7"/>
      <c r="K904" s="6"/>
    </row>
    <row r="905" spans="1:11" x14ac:dyDescent="0.2">
      <c r="A905" s="6"/>
      <c r="B905" s="7"/>
      <c r="C905" s="7"/>
      <c r="D905" s="7"/>
      <c r="E905" s="7"/>
      <c r="F905" s="7"/>
      <c r="G905" s="8"/>
      <c r="H905" s="7"/>
      <c r="K905" s="6"/>
    </row>
    <row r="906" spans="1:11" x14ac:dyDescent="0.2">
      <c r="A906" s="6"/>
      <c r="B906" s="7"/>
      <c r="C906" s="7"/>
      <c r="D906" s="7"/>
      <c r="E906" s="7"/>
      <c r="F906" s="7"/>
      <c r="G906" s="8"/>
      <c r="H906" s="7"/>
      <c r="K906" s="6"/>
    </row>
    <row r="907" spans="1:11" x14ac:dyDescent="0.2">
      <c r="A907" s="6"/>
      <c r="B907" s="7"/>
      <c r="C907" s="7"/>
      <c r="D907" s="7"/>
      <c r="E907" s="7"/>
      <c r="F907" s="7"/>
      <c r="G907" s="8"/>
      <c r="H907" s="7"/>
      <c r="K907" s="6"/>
    </row>
    <row r="908" spans="1:11" x14ac:dyDescent="0.2">
      <c r="A908" s="6"/>
      <c r="B908" s="7"/>
      <c r="C908" s="7"/>
      <c r="D908" s="7"/>
      <c r="E908" s="7"/>
      <c r="F908" s="7"/>
      <c r="G908" s="8"/>
      <c r="H908" s="7"/>
      <c r="K908" s="6"/>
    </row>
    <row r="909" spans="1:11" x14ac:dyDescent="0.2">
      <c r="A909" s="6"/>
      <c r="B909" s="7"/>
      <c r="C909" s="7"/>
      <c r="D909" s="7"/>
      <c r="E909" s="7"/>
      <c r="F909" s="7"/>
      <c r="G909" s="8"/>
      <c r="H909" s="7"/>
      <c r="K909" s="6"/>
    </row>
    <row r="910" spans="1:11" x14ac:dyDescent="0.2">
      <c r="A910" s="6"/>
      <c r="B910" s="7"/>
      <c r="C910" s="7"/>
      <c r="D910" s="7"/>
      <c r="E910" s="7"/>
      <c r="F910" s="7"/>
      <c r="G910" s="8"/>
      <c r="H910" s="7"/>
      <c r="K910" s="6"/>
    </row>
    <row r="911" spans="1:11" x14ac:dyDescent="0.2">
      <c r="A911" s="6"/>
      <c r="B911" s="7"/>
      <c r="C911" s="7"/>
      <c r="D911" s="7"/>
      <c r="E911" s="7"/>
      <c r="F911" s="7"/>
      <c r="G911" s="8"/>
      <c r="H911" s="7"/>
      <c r="K911" s="6"/>
    </row>
    <row r="912" spans="1:11" x14ac:dyDescent="0.2">
      <c r="A912" s="6"/>
      <c r="B912" s="7"/>
      <c r="C912" s="7"/>
      <c r="D912" s="7"/>
      <c r="E912" s="7"/>
      <c r="F912" s="7"/>
      <c r="G912" s="8"/>
      <c r="H912" s="7"/>
      <c r="K912" s="6"/>
    </row>
    <row r="913" spans="1:11" x14ac:dyDescent="0.2">
      <c r="A913" s="6"/>
      <c r="B913" s="7"/>
      <c r="C913" s="7"/>
      <c r="D913" s="7"/>
      <c r="E913" s="7"/>
      <c r="F913" s="7"/>
      <c r="G913" s="8"/>
      <c r="H913" s="7"/>
      <c r="K913" s="6"/>
    </row>
    <row r="914" spans="1:11" x14ac:dyDescent="0.2">
      <c r="A914" s="6"/>
      <c r="B914" s="7"/>
      <c r="C914" s="7"/>
      <c r="D914" s="7"/>
      <c r="E914" s="7"/>
      <c r="F914" s="7"/>
      <c r="G914" s="8"/>
      <c r="H914" s="7"/>
      <c r="K914" s="6"/>
    </row>
    <row r="915" spans="1:11" x14ac:dyDescent="0.2">
      <c r="A915" s="6"/>
      <c r="B915" s="7"/>
      <c r="C915" s="7"/>
      <c r="D915" s="7"/>
      <c r="E915" s="7"/>
      <c r="F915" s="7"/>
      <c r="G915" s="8"/>
      <c r="H915" s="7"/>
      <c r="K915" s="6"/>
    </row>
    <row r="916" spans="1:11" x14ac:dyDescent="0.2">
      <c r="A916" s="6"/>
      <c r="B916" s="7"/>
      <c r="C916" s="7"/>
      <c r="D916" s="7"/>
      <c r="E916" s="7"/>
      <c r="F916" s="7"/>
      <c r="G916" s="8"/>
      <c r="H916" s="7"/>
      <c r="K916" s="6"/>
    </row>
    <row r="917" spans="1:11" x14ac:dyDescent="0.2">
      <c r="A917" s="6"/>
      <c r="B917" s="7"/>
      <c r="C917" s="7"/>
      <c r="D917" s="7"/>
      <c r="E917" s="7"/>
      <c r="F917" s="7"/>
      <c r="G917" s="8"/>
      <c r="H917" s="7"/>
      <c r="K917" s="6"/>
    </row>
    <row r="918" spans="1:11" x14ac:dyDescent="0.2">
      <c r="A918" s="6"/>
      <c r="B918" s="7"/>
      <c r="C918" s="7"/>
      <c r="D918" s="7"/>
      <c r="E918" s="7"/>
      <c r="F918" s="7"/>
      <c r="G918" s="8"/>
      <c r="H918" s="7"/>
      <c r="K918" s="6"/>
    </row>
    <row r="919" spans="1:11" x14ac:dyDescent="0.2">
      <c r="A919" s="6"/>
      <c r="B919" s="7"/>
      <c r="C919" s="7"/>
      <c r="D919" s="7"/>
      <c r="E919" s="7"/>
      <c r="F919" s="7"/>
      <c r="G919" s="8"/>
      <c r="H919" s="7"/>
      <c r="K919" s="6"/>
    </row>
    <row r="920" spans="1:11" x14ac:dyDescent="0.2">
      <c r="A920" s="6"/>
      <c r="B920" s="7"/>
      <c r="C920" s="7"/>
      <c r="D920" s="7"/>
      <c r="E920" s="7"/>
      <c r="F920" s="7"/>
      <c r="G920" s="8"/>
      <c r="H920" s="7"/>
      <c r="K920" s="6"/>
    </row>
    <row r="921" spans="1:11" x14ac:dyDescent="0.2">
      <c r="A921" s="6"/>
      <c r="B921" s="7"/>
      <c r="C921" s="7"/>
      <c r="D921" s="7"/>
      <c r="E921" s="7"/>
      <c r="F921" s="7"/>
      <c r="G921" s="8"/>
      <c r="H921" s="7"/>
      <c r="K921" s="6"/>
    </row>
    <row r="922" spans="1:11" x14ac:dyDescent="0.2">
      <c r="A922" s="6"/>
      <c r="B922" s="7"/>
      <c r="C922" s="7"/>
      <c r="D922" s="7"/>
      <c r="E922" s="7"/>
      <c r="F922" s="7"/>
      <c r="G922" s="8"/>
      <c r="H922" s="7"/>
      <c r="K922" s="6"/>
    </row>
    <row r="923" spans="1:11" x14ac:dyDescent="0.2">
      <c r="A923" s="6"/>
      <c r="B923" s="7"/>
      <c r="C923" s="7"/>
      <c r="D923" s="7"/>
      <c r="E923" s="7"/>
      <c r="F923" s="7"/>
      <c r="G923" s="8"/>
      <c r="H923" s="7"/>
      <c r="K923" s="6"/>
    </row>
    <row r="924" spans="1:11" x14ac:dyDescent="0.2">
      <c r="A924" s="6"/>
      <c r="B924" s="7"/>
      <c r="C924" s="7"/>
      <c r="D924" s="7"/>
      <c r="E924" s="7"/>
      <c r="F924" s="7"/>
      <c r="G924" s="8"/>
      <c r="H924" s="7"/>
      <c r="K924" s="6"/>
    </row>
    <row r="925" spans="1:11" x14ac:dyDescent="0.2">
      <c r="A925" s="6"/>
      <c r="B925" s="7"/>
      <c r="C925" s="7"/>
      <c r="D925" s="7"/>
      <c r="E925" s="7"/>
      <c r="F925" s="7"/>
      <c r="G925" s="8"/>
      <c r="H925" s="7"/>
      <c r="K925" s="6"/>
    </row>
    <row r="926" spans="1:11" x14ac:dyDescent="0.2">
      <c r="A926" s="6"/>
      <c r="B926" s="7"/>
      <c r="C926" s="7"/>
      <c r="D926" s="7"/>
      <c r="E926" s="7"/>
      <c r="F926" s="7"/>
      <c r="G926" s="8"/>
      <c r="H926" s="7"/>
      <c r="K926" s="6"/>
    </row>
    <row r="927" spans="1:11" x14ac:dyDescent="0.2">
      <c r="A927" s="6"/>
      <c r="B927" s="7"/>
      <c r="C927" s="7"/>
      <c r="D927" s="7"/>
      <c r="E927" s="7"/>
      <c r="F927" s="7"/>
      <c r="G927" s="8"/>
      <c r="H927" s="7"/>
      <c r="K927" s="6"/>
    </row>
    <row r="928" spans="1:11" x14ac:dyDescent="0.2">
      <c r="A928" s="6"/>
      <c r="B928" s="7"/>
      <c r="C928" s="7"/>
      <c r="D928" s="7"/>
      <c r="E928" s="7"/>
      <c r="F928" s="7"/>
      <c r="G928" s="8"/>
      <c r="H928" s="7"/>
      <c r="K928" s="6"/>
    </row>
    <row r="929" spans="1:11" x14ac:dyDescent="0.2">
      <c r="A929" s="6"/>
      <c r="B929" s="7"/>
      <c r="C929" s="7"/>
      <c r="D929" s="7"/>
      <c r="E929" s="7"/>
      <c r="F929" s="7"/>
      <c r="G929" s="8"/>
      <c r="H929" s="7"/>
      <c r="K929" s="6"/>
    </row>
    <row r="930" spans="1:11" x14ac:dyDescent="0.2">
      <c r="A930" s="6"/>
      <c r="B930" s="7"/>
      <c r="C930" s="7"/>
      <c r="D930" s="7"/>
      <c r="E930" s="7"/>
      <c r="F930" s="7"/>
      <c r="G930" s="8"/>
      <c r="H930" s="7"/>
      <c r="K930" s="6"/>
    </row>
    <row r="931" spans="1:11" x14ac:dyDescent="0.2">
      <c r="A931" s="6"/>
      <c r="B931" s="7"/>
      <c r="C931" s="7"/>
      <c r="D931" s="7"/>
      <c r="E931" s="7"/>
      <c r="F931" s="7"/>
      <c r="G931" s="8"/>
      <c r="H931" s="7"/>
      <c r="K931" s="6"/>
    </row>
    <row r="932" spans="1:11" x14ac:dyDescent="0.2">
      <c r="A932" s="6"/>
      <c r="B932" s="7"/>
      <c r="C932" s="7"/>
      <c r="D932" s="7"/>
      <c r="E932" s="7"/>
      <c r="F932" s="7"/>
      <c r="G932" s="8"/>
      <c r="H932" s="7"/>
      <c r="K932" s="6"/>
    </row>
    <row r="933" spans="1:11" x14ac:dyDescent="0.2">
      <c r="A933" s="6"/>
      <c r="B933" s="7"/>
      <c r="C933" s="7"/>
      <c r="D933" s="7"/>
      <c r="E933" s="7"/>
      <c r="F933" s="7"/>
      <c r="G933" s="8"/>
      <c r="H933" s="7"/>
      <c r="K933" s="6"/>
    </row>
    <row r="934" spans="1:11" x14ac:dyDescent="0.2">
      <c r="A934" s="6"/>
      <c r="B934" s="7"/>
      <c r="C934" s="7"/>
      <c r="D934" s="7"/>
      <c r="E934" s="7"/>
      <c r="F934" s="7"/>
      <c r="G934" s="8"/>
      <c r="H934" s="7"/>
      <c r="K934" s="6"/>
    </row>
    <row r="935" spans="1:11" x14ac:dyDescent="0.2">
      <c r="A935" s="6"/>
      <c r="B935" s="7"/>
      <c r="C935" s="7"/>
      <c r="D935" s="7"/>
      <c r="E935" s="7"/>
      <c r="F935" s="7"/>
      <c r="G935" s="8"/>
      <c r="H935" s="7"/>
      <c r="K935" s="6"/>
    </row>
    <row r="936" spans="1:11" x14ac:dyDescent="0.2">
      <c r="A936" s="6"/>
      <c r="B936" s="7"/>
      <c r="C936" s="7"/>
      <c r="D936" s="7"/>
      <c r="E936" s="7"/>
      <c r="F936" s="7"/>
      <c r="G936" s="8"/>
      <c r="H936" s="7"/>
      <c r="K936" s="6"/>
    </row>
    <row r="937" spans="1:11" x14ac:dyDescent="0.2">
      <c r="A937" s="6"/>
      <c r="B937" s="7"/>
      <c r="C937" s="7"/>
      <c r="D937" s="7"/>
      <c r="E937" s="7"/>
      <c r="F937" s="7"/>
      <c r="G937" s="8"/>
      <c r="H937" s="7"/>
      <c r="K937" s="6"/>
    </row>
    <row r="938" spans="1:11" x14ac:dyDescent="0.2">
      <c r="A938" s="6"/>
      <c r="B938" s="7"/>
      <c r="C938" s="7"/>
      <c r="D938" s="7"/>
      <c r="E938" s="7"/>
      <c r="F938" s="7"/>
      <c r="G938" s="8"/>
      <c r="H938" s="7"/>
      <c r="K938" s="6"/>
    </row>
    <row r="939" spans="1:11" x14ac:dyDescent="0.2">
      <c r="A939" s="6"/>
      <c r="B939" s="7"/>
      <c r="C939" s="7"/>
      <c r="D939" s="7"/>
      <c r="E939" s="7"/>
      <c r="F939" s="7"/>
      <c r="G939" s="8"/>
      <c r="H939" s="7"/>
      <c r="K939" s="6"/>
    </row>
    <row r="940" spans="1:11" x14ac:dyDescent="0.2">
      <c r="A940" s="6"/>
      <c r="B940" s="7"/>
      <c r="C940" s="7"/>
      <c r="D940" s="7"/>
      <c r="E940" s="7"/>
      <c r="F940" s="7"/>
      <c r="G940" s="8"/>
      <c r="H940" s="7"/>
      <c r="K940" s="6"/>
    </row>
    <row r="941" spans="1:11" x14ac:dyDescent="0.2">
      <c r="A941" s="6"/>
      <c r="B941" s="7"/>
      <c r="C941" s="7"/>
      <c r="D941" s="7"/>
      <c r="E941" s="7"/>
      <c r="F941" s="7"/>
      <c r="G941" s="8"/>
      <c r="H941" s="7"/>
      <c r="K941" s="6"/>
    </row>
    <row r="942" spans="1:11" x14ac:dyDescent="0.2">
      <c r="A942" s="6"/>
      <c r="B942" s="7"/>
      <c r="C942" s="7"/>
      <c r="D942" s="7"/>
      <c r="E942" s="7"/>
      <c r="F942" s="7"/>
      <c r="G942" s="8"/>
      <c r="H942" s="7"/>
      <c r="K942" s="6"/>
    </row>
    <row r="943" spans="1:11" x14ac:dyDescent="0.2">
      <c r="A943" s="6"/>
      <c r="B943" s="7"/>
      <c r="C943" s="7"/>
      <c r="D943" s="7"/>
      <c r="E943" s="7"/>
      <c r="F943" s="7"/>
      <c r="G943" s="8"/>
      <c r="H943" s="7"/>
      <c r="K943" s="6"/>
    </row>
    <row r="944" spans="1:11" x14ac:dyDescent="0.2">
      <c r="A944" s="6"/>
      <c r="B944" s="7"/>
      <c r="C944" s="7"/>
      <c r="D944" s="7"/>
      <c r="E944" s="7"/>
      <c r="F944" s="7"/>
      <c r="G944" s="8"/>
      <c r="H944" s="7"/>
      <c r="K944" s="6"/>
    </row>
    <row r="945" spans="1:11" x14ac:dyDescent="0.2">
      <c r="A945" s="6"/>
      <c r="B945" s="7"/>
      <c r="C945" s="7"/>
      <c r="D945" s="7"/>
      <c r="E945" s="7"/>
      <c r="F945" s="7"/>
      <c r="G945" s="8"/>
      <c r="H945" s="7"/>
      <c r="K945" s="6"/>
    </row>
    <row r="946" spans="1:11" x14ac:dyDescent="0.2">
      <c r="A946" s="6"/>
      <c r="B946" s="7"/>
      <c r="C946" s="7"/>
      <c r="D946" s="7"/>
      <c r="E946" s="7"/>
      <c r="F946" s="7"/>
      <c r="G946" s="8"/>
      <c r="H946" s="7"/>
      <c r="K946" s="6"/>
    </row>
    <row r="947" spans="1:11" x14ac:dyDescent="0.2">
      <c r="A947" s="6"/>
      <c r="B947" s="7"/>
      <c r="C947" s="7"/>
      <c r="D947" s="7"/>
      <c r="E947" s="7"/>
      <c r="F947" s="7"/>
      <c r="G947" s="8"/>
      <c r="H947" s="7"/>
      <c r="K947" s="6"/>
    </row>
    <row r="948" spans="1:11" x14ac:dyDescent="0.2">
      <c r="A948" s="6"/>
      <c r="B948" s="7"/>
      <c r="C948" s="7"/>
      <c r="D948" s="7"/>
      <c r="E948" s="7"/>
      <c r="F948" s="7"/>
      <c r="G948" s="8"/>
      <c r="H948" s="7"/>
      <c r="K948" s="6"/>
    </row>
    <row r="949" spans="1:11" x14ac:dyDescent="0.2">
      <c r="A949" s="6"/>
      <c r="B949" s="7"/>
      <c r="H949" s="7"/>
      <c r="K949" s="6"/>
    </row>
    <row r="950" spans="1:11" x14ac:dyDescent="0.2">
      <c r="A950" s="6"/>
      <c r="B950" s="7"/>
      <c r="C950" s="7"/>
      <c r="D950" s="7"/>
      <c r="E950" s="7"/>
      <c r="F950" s="7"/>
      <c r="G950" s="8"/>
      <c r="H950" s="7"/>
      <c r="K950" s="6"/>
    </row>
    <row r="951" spans="1:11" x14ac:dyDescent="0.2">
      <c r="A951" s="6"/>
      <c r="B951" s="7"/>
      <c r="C951" s="7"/>
      <c r="D951" s="7"/>
      <c r="E951" s="7"/>
      <c r="F951" s="7"/>
      <c r="G951" s="8"/>
      <c r="H951" s="7"/>
      <c r="K951" s="6"/>
    </row>
    <row r="952" spans="1:11" x14ac:dyDescent="0.2">
      <c r="A952" s="6"/>
      <c r="B952" s="7"/>
      <c r="C952" s="7"/>
      <c r="D952" s="7"/>
      <c r="E952" s="7"/>
      <c r="F952" s="7"/>
      <c r="G952" s="8"/>
      <c r="H952" s="7"/>
      <c r="K952" s="6"/>
    </row>
    <row r="953" spans="1:11" x14ac:dyDescent="0.2">
      <c r="A953" s="6"/>
      <c r="B953" s="7"/>
      <c r="C953" s="7"/>
      <c r="D953" s="7"/>
      <c r="E953" s="7"/>
      <c r="F953" s="7"/>
      <c r="G953" s="8"/>
      <c r="H953" s="7"/>
      <c r="K953" s="6"/>
    </row>
    <row r="954" spans="1:11" x14ac:dyDescent="0.2">
      <c r="A954" s="6"/>
      <c r="B954" s="7"/>
      <c r="C954" s="7"/>
      <c r="D954" s="7"/>
      <c r="E954" s="7"/>
      <c r="F954" s="7"/>
      <c r="G954" s="8"/>
      <c r="H954" s="7"/>
      <c r="K954" s="6"/>
    </row>
    <row r="955" spans="1:11" x14ac:dyDescent="0.2">
      <c r="A955" s="6"/>
      <c r="B955" s="7"/>
      <c r="C955" s="7"/>
      <c r="D955" s="7"/>
      <c r="E955" s="7"/>
      <c r="F955" s="7"/>
      <c r="G955" s="8"/>
      <c r="H955" s="7"/>
      <c r="K955" s="6"/>
    </row>
    <row r="956" spans="1:11" x14ac:dyDescent="0.2">
      <c r="A956" s="6"/>
      <c r="B956" s="7"/>
      <c r="C956" s="7"/>
      <c r="D956" s="7"/>
      <c r="E956" s="7"/>
      <c r="F956" s="7"/>
      <c r="G956" s="8"/>
      <c r="H956" s="7"/>
      <c r="K956" s="6"/>
    </row>
    <row r="957" spans="1:11" x14ac:dyDescent="0.2">
      <c r="A957" s="6"/>
      <c r="B957" s="7"/>
      <c r="C957" s="7"/>
      <c r="D957" s="7"/>
      <c r="E957" s="7"/>
      <c r="F957" s="7"/>
      <c r="G957" s="8"/>
      <c r="H957" s="7"/>
      <c r="K957" s="6"/>
    </row>
    <row r="958" spans="1:11" x14ac:dyDescent="0.2">
      <c r="A958" s="6"/>
      <c r="B958" s="7"/>
      <c r="C958" s="7"/>
      <c r="D958" s="7"/>
      <c r="E958" s="7"/>
      <c r="F958" s="7"/>
      <c r="G958" s="8"/>
      <c r="H958" s="7"/>
      <c r="K958" s="6"/>
    </row>
    <row r="959" spans="1:11" x14ac:dyDescent="0.2">
      <c r="A959" s="6"/>
      <c r="B959" s="7"/>
      <c r="C959" s="7"/>
      <c r="D959" s="7"/>
      <c r="E959" s="7"/>
      <c r="F959" s="7"/>
      <c r="G959" s="8"/>
      <c r="H959" s="7"/>
      <c r="K959" s="6"/>
    </row>
    <row r="960" spans="1:11" x14ac:dyDescent="0.2">
      <c r="A960" s="6"/>
      <c r="B960" s="7"/>
      <c r="C960" s="7"/>
      <c r="D960" s="7"/>
      <c r="E960" s="7"/>
      <c r="F960" s="7"/>
      <c r="G960" s="8"/>
      <c r="H960" s="7"/>
      <c r="K960" s="6"/>
    </row>
    <row r="961" spans="1:11" x14ac:dyDescent="0.2">
      <c r="A961" s="6"/>
      <c r="B961" s="7"/>
      <c r="C961" s="7"/>
      <c r="D961" s="7"/>
      <c r="E961" s="7"/>
      <c r="F961" s="7"/>
      <c r="G961" s="8"/>
      <c r="H961" s="7"/>
      <c r="K961" s="6"/>
    </row>
    <row r="962" spans="1:11" x14ac:dyDescent="0.2">
      <c r="A962" s="6"/>
      <c r="B962" s="7"/>
      <c r="C962" s="7"/>
      <c r="D962" s="7"/>
      <c r="E962" s="7"/>
      <c r="F962" s="7"/>
      <c r="G962" s="8"/>
      <c r="K962" s="6"/>
    </row>
    <row r="963" spans="1:11" x14ac:dyDescent="0.2">
      <c r="A963" s="6"/>
      <c r="B963" s="7"/>
      <c r="C963" s="7"/>
      <c r="D963" s="7"/>
      <c r="E963" s="7"/>
      <c r="F963" s="7"/>
      <c r="G963" s="8"/>
      <c r="H963" s="7"/>
      <c r="K963" s="6"/>
    </row>
    <row r="964" spans="1:11" x14ac:dyDescent="0.2">
      <c r="A964" s="6"/>
      <c r="B964" s="7"/>
      <c r="C964" s="7"/>
      <c r="D964" s="7"/>
      <c r="E964" s="7"/>
      <c r="F964" s="7"/>
      <c r="G964" s="8"/>
      <c r="H964" s="7"/>
      <c r="K964" s="6"/>
    </row>
    <row r="965" spans="1:11" x14ac:dyDescent="0.2">
      <c r="A965" s="6"/>
      <c r="B965" s="7"/>
      <c r="C965" s="7"/>
      <c r="D965" s="7"/>
      <c r="E965" s="7"/>
      <c r="F965" s="7"/>
      <c r="G965" s="8"/>
      <c r="H965" s="7"/>
      <c r="K965" s="6"/>
    </row>
    <row r="966" spans="1:11" x14ac:dyDescent="0.2">
      <c r="A966" s="6"/>
      <c r="B966" s="7"/>
      <c r="C966" s="7"/>
      <c r="D966" s="7"/>
      <c r="E966" s="7"/>
      <c r="F966" s="7"/>
      <c r="G966" s="8"/>
      <c r="H966" s="7"/>
      <c r="K966" s="6"/>
    </row>
    <row r="967" spans="1:11" x14ac:dyDescent="0.2">
      <c r="A967" s="6"/>
      <c r="B967" s="7"/>
      <c r="C967" s="7"/>
      <c r="D967" s="7"/>
      <c r="E967" s="7"/>
      <c r="F967" s="7"/>
      <c r="G967" s="8"/>
      <c r="H967" s="7"/>
      <c r="K967" s="6"/>
    </row>
    <row r="968" spans="1:11" x14ac:dyDescent="0.2">
      <c r="A968" s="6"/>
      <c r="B968" s="7"/>
      <c r="C968" s="7"/>
      <c r="D968" s="7"/>
      <c r="E968" s="7"/>
      <c r="F968" s="7"/>
      <c r="G968" s="8"/>
      <c r="H968" s="7"/>
      <c r="K968" s="6"/>
    </row>
    <row r="969" spans="1:11" x14ac:dyDescent="0.2">
      <c r="A969" s="6"/>
      <c r="B969" s="7"/>
      <c r="C969" s="7"/>
      <c r="D969" s="7"/>
      <c r="E969" s="7"/>
      <c r="F969" s="7"/>
      <c r="G969" s="8"/>
      <c r="H969" s="7"/>
      <c r="K969" s="6"/>
    </row>
    <row r="970" spans="1:11" x14ac:dyDescent="0.2">
      <c r="A970" s="6"/>
      <c r="B970" s="7"/>
      <c r="C970" s="7"/>
      <c r="D970" s="7"/>
      <c r="E970" s="7"/>
      <c r="F970" s="7"/>
      <c r="G970" s="8"/>
      <c r="H970" s="7"/>
      <c r="K970" s="6"/>
    </row>
    <row r="971" spans="1:11" x14ac:dyDescent="0.2">
      <c r="A971" s="6"/>
      <c r="B971" s="7"/>
      <c r="C971" s="7"/>
      <c r="D971" s="7"/>
      <c r="E971" s="7"/>
      <c r="F971" s="7"/>
      <c r="G971" s="8"/>
      <c r="H971" s="7"/>
      <c r="K971" s="6"/>
    </row>
    <row r="972" spans="1:11" x14ac:dyDescent="0.2">
      <c r="A972" s="6"/>
      <c r="B972" s="7"/>
      <c r="C972" s="7"/>
      <c r="D972" s="7"/>
      <c r="E972" s="7"/>
      <c r="F972" s="7"/>
      <c r="G972" s="8"/>
      <c r="H972" s="7"/>
      <c r="K972" s="6"/>
    </row>
    <row r="973" spans="1:11" x14ac:dyDescent="0.2">
      <c r="A973" s="6"/>
      <c r="B973" s="7"/>
      <c r="C973" s="7"/>
      <c r="D973" s="7"/>
      <c r="E973" s="7"/>
      <c r="F973" s="7"/>
      <c r="G973" s="8"/>
      <c r="H973" s="7"/>
      <c r="K973" s="6"/>
    </row>
    <row r="974" spans="1:11" x14ac:dyDescent="0.2">
      <c r="A974" s="6"/>
      <c r="B974" s="7"/>
      <c r="C974" s="7"/>
      <c r="D974" s="7"/>
      <c r="E974" s="7"/>
      <c r="F974" s="7"/>
      <c r="G974" s="8"/>
      <c r="H974" s="7"/>
      <c r="K974" s="6"/>
    </row>
    <row r="975" spans="1:11" x14ac:dyDescent="0.2">
      <c r="A975" s="6"/>
      <c r="B975" s="7"/>
      <c r="C975" s="7"/>
      <c r="D975" s="7"/>
      <c r="E975" s="7"/>
      <c r="F975" s="7"/>
      <c r="G975" s="8"/>
      <c r="H975" s="7"/>
      <c r="K975" s="6"/>
    </row>
    <row r="976" spans="1:11" x14ac:dyDescent="0.2">
      <c r="A976" s="6"/>
      <c r="B976" s="7"/>
      <c r="C976" s="7"/>
      <c r="D976" s="7"/>
      <c r="E976" s="7"/>
      <c r="F976" s="7"/>
      <c r="G976" s="8"/>
      <c r="H976" s="7"/>
      <c r="K976" s="6"/>
    </row>
    <row r="977" spans="1:11" x14ac:dyDescent="0.2">
      <c r="A977" s="6"/>
      <c r="B977" s="7"/>
      <c r="C977" s="7"/>
      <c r="D977" s="7"/>
      <c r="E977" s="7"/>
      <c r="F977" s="7"/>
      <c r="G977" s="8"/>
      <c r="H977" s="7"/>
      <c r="K977" s="6"/>
    </row>
    <row r="978" spans="1:11" x14ac:dyDescent="0.2">
      <c r="A978" s="6"/>
      <c r="B978" s="7"/>
      <c r="C978" s="7"/>
      <c r="D978" s="7"/>
      <c r="E978" s="7"/>
      <c r="F978" s="7"/>
      <c r="G978" s="8"/>
      <c r="H978" s="7"/>
      <c r="K978" s="6"/>
    </row>
    <row r="979" spans="1:11" x14ac:dyDescent="0.2">
      <c r="A979" s="6"/>
      <c r="B979" s="7"/>
      <c r="C979" s="7"/>
      <c r="D979" s="7"/>
      <c r="E979" s="7"/>
      <c r="F979" s="7"/>
      <c r="G979" s="8"/>
      <c r="H979" s="7"/>
      <c r="K979" s="6"/>
    </row>
    <row r="980" spans="1:11" x14ac:dyDescent="0.2">
      <c r="A980" s="6"/>
      <c r="B980" s="7"/>
      <c r="C980" s="7"/>
      <c r="D980" s="7"/>
      <c r="E980" s="7"/>
      <c r="F980" s="7"/>
      <c r="G980" s="8"/>
      <c r="H980" s="7"/>
      <c r="K980" s="6"/>
    </row>
    <row r="981" spans="1:11" x14ac:dyDescent="0.2">
      <c r="A981" s="6"/>
      <c r="B981" s="7"/>
      <c r="C981" s="7"/>
      <c r="D981" s="7"/>
      <c r="E981" s="7"/>
      <c r="F981" s="7"/>
      <c r="G981" s="8"/>
      <c r="H981" s="7"/>
      <c r="K981" s="6"/>
    </row>
    <row r="982" spans="1:11" x14ac:dyDescent="0.2">
      <c r="A982" s="6"/>
      <c r="B982" s="7"/>
      <c r="C982" s="7"/>
      <c r="D982" s="7"/>
      <c r="E982" s="7"/>
      <c r="F982" s="7"/>
      <c r="G982" s="8"/>
      <c r="H982" s="7"/>
      <c r="K982" s="6"/>
    </row>
    <row r="983" spans="1:11" x14ac:dyDescent="0.2">
      <c r="A983" s="6"/>
      <c r="B983" s="7"/>
      <c r="C983" s="7"/>
      <c r="D983" s="7"/>
      <c r="E983" s="7"/>
      <c r="F983" s="7"/>
      <c r="G983" s="8"/>
      <c r="H983" s="7"/>
      <c r="K983" s="6"/>
    </row>
    <row r="984" spans="1:11" x14ac:dyDescent="0.2">
      <c r="A984" s="6"/>
      <c r="B984" s="7"/>
      <c r="C984" s="7"/>
      <c r="D984" s="7"/>
      <c r="E984" s="7"/>
      <c r="F984" s="7"/>
      <c r="G984" s="8"/>
      <c r="H984" s="7"/>
      <c r="K984" s="6"/>
    </row>
    <row r="985" spans="1:11" x14ac:dyDescent="0.2">
      <c r="A985" s="6"/>
      <c r="B985" s="7"/>
      <c r="C985" s="7"/>
      <c r="D985" s="7"/>
      <c r="E985" s="7"/>
      <c r="F985" s="7"/>
      <c r="G985" s="8"/>
      <c r="H985" s="7"/>
      <c r="K985" s="6"/>
    </row>
    <row r="986" spans="1:11" x14ac:dyDescent="0.2">
      <c r="A986" s="6"/>
      <c r="B986" s="7"/>
      <c r="C986" s="7"/>
      <c r="D986" s="7"/>
      <c r="E986" s="7"/>
      <c r="F986" s="7"/>
      <c r="G986" s="8"/>
      <c r="H986" s="7"/>
      <c r="K986" s="6"/>
    </row>
    <row r="987" spans="1:11" x14ac:dyDescent="0.2">
      <c r="A987" s="6"/>
      <c r="B987" s="7"/>
      <c r="C987" s="7"/>
      <c r="D987" s="7"/>
      <c r="E987" s="7"/>
      <c r="F987" s="7"/>
      <c r="G987" s="8"/>
      <c r="H987" s="7"/>
      <c r="K987" s="6"/>
    </row>
    <row r="988" spans="1:11" x14ac:dyDescent="0.2">
      <c r="A988" s="6"/>
      <c r="B988" s="7"/>
      <c r="C988" s="7"/>
      <c r="D988" s="7"/>
      <c r="E988" s="7"/>
      <c r="F988" s="7"/>
      <c r="G988" s="8"/>
      <c r="H988" s="7"/>
      <c r="K988" s="6"/>
    </row>
    <row r="989" spans="1:11" x14ac:dyDescent="0.2">
      <c r="A989" s="6"/>
      <c r="B989" s="7"/>
      <c r="C989" s="7"/>
      <c r="D989" s="7"/>
      <c r="E989" s="7"/>
      <c r="F989" s="7"/>
      <c r="G989" s="8"/>
      <c r="H989" s="7"/>
      <c r="K989" s="6"/>
    </row>
    <row r="990" spans="1:11" x14ac:dyDescent="0.2">
      <c r="A990" s="6"/>
      <c r="B990" s="7"/>
      <c r="C990" s="7"/>
      <c r="D990" s="7"/>
      <c r="E990" s="7"/>
      <c r="F990" s="7"/>
      <c r="G990" s="8"/>
      <c r="H990" s="7"/>
      <c r="K990" s="6"/>
    </row>
    <row r="991" spans="1:11" x14ac:dyDescent="0.2">
      <c r="A991" s="6"/>
      <c r="B991" s="7"/>
      <c r="C991" s="7"/>
      <c r="D991" s="7"/>
      <c r="E991" s="7"/>
      <c r="F991" s="7"/>
      <c r="G991" s="8"/>
      <c r="H991" s="7"/>
      <c r="K991" s="6"/>
    </row>
    <row r="992" spans="1:11" x14ac:dyDescent="0.2">
      <c r="A992" s="6"/>
      <c r="B992" s="7"/>
      <c r="C992" s="7"/>
      <c r="D992" s="7"/>
      <c r="E992" s="7"/>
      <c r="F992" s="7"/>
      <c r="G992" s="8"/>
      <c r="H992" s="7"/>
      <c r="K992" s="6"/>
    </row>
    <row r="993" spans="1:11" x14ac:dyDescent="0.2">
      <c r="A993" s="6"/>
      <c r="B993" s="7"/>
      <c r="C993" s="7"/>
      <c r="D993" s="7"/>
      <c r="E993" s="7"/>
      <c r="F993" s="7"/>
      <c r="G993" s="8"/>
      <c r="H993" s="7"/>
      <c r="K993" s="6"/>
    </row>
    <row r="994" spans="1:11" x14ac:dyDescent="0.2">
      <c r="A994" s="6"/>
      <c r="B994" s="7"/>
      <c r="C994" s="7"/>
      <c r="D994" s="7"/>
      <c r="E994" s="7"/>
      <c r="F994" s="7"/>
      <c r="G994" s="8"/>
      <c r="H994" s="7"/>
      <c r="K994" s="6"/>
    </row>
    <row r="995" spans="1:11" x14ac:dyDescent="0.2">
      <c r="A995" s="6"/>
      <c r="B995" s="7"/>
      <c r="C995" s="7"/>
      <c r="D995" s="7"/>
      <c r="E995" s="7"/>
      <c r="F995" s="7"/>
      <c r="G995" s="8"/>
      <c r="H995" s="7"/>
      <c r="K995" s="6"/>
    </row>
    <row r="996" spans="1:11" x14ac:dyDescent="0.2">
      <c r="A996" s="6"/>
      <c r="B996" s="7"/>
      <c r="C996" s="7"/>
      <c r="D996" s="7"/>
      <c r="E996" s="7"/>
      <c r="F996" s="7"/>
      <c r="G996" s="8"/>
      <c r="H996" s="7"/>
      <c r="K996" s="6"/>
    </row>
    <row r="997" spans="1:11" x14ac:dyDescent="0.2">
      <c r="A997" s="6"/>
      <c r="B997" s="7"/>
      <c r="C997" s="7"/>
      <c r="D997" s="7"/>
      <c r="E997" s="7"/>
      <c r="F997" s="7"/>
      <c r="G997" s="8"/>
      <c r="H997" s="7"/>
      <c r="K997" s="6"/>
    </row>
    <row r="998" spans="1:11" x14ac:dyDescent="0.2">
      <c r="A998" s="6"/>
      <c r="B998" s="7"/>
      <c r="C998" s="7"/>
      <c r="D998" s="7"/>
      <c r="E998" s="7"/>
      <c r="F998" s="7"/>
      <c r="G998" s="8"/>
      <c r="H998" s="7"/>
      <c r="K998" s="6"/>
    </row>
    <row r="999" spans="1:11" x14ac:dyDescent="0.2">
      <c r="A999" s="6"/>
      <c r="B999" s="7"/>
      <c r="C999" s="7"/>
      <c r="D999" s="7"/>
      <c r="E999" s="7"/>
      <c r="F999" s="7"/>
      <c r="G999" s="8"/>
      <c r="H999" s="7"/>
      <c r="K999" s="6"/>
    </row>
    <row r="1000" spans="1:11" x14ac:dyDescent="0.2">
      <c r="A1000" s="6"/>
      <c r="B1000" s="7"/>
      <c r="C1000" s="7"/>
      <c r="D1000" s="7"/>
      <c r="E1000" s="7"/>
      <c r="F1000" s="7"/>
      <c r="G1000" s="8"/>
      <c r="H1000" s="7"/>
      <c r="K1000" s="6"/>
    </row>
    <row r="1001" spans="1:11" x14ac:dyDescent="0.2">
      <c r="A1001" s="6"/>
      <c r="B1001" s="7"/>
      <c r="C1001" s="7"/>
      <c r="D1001" s="7"/>
      <c r="E1001" s="7"/>
      <c r="F1001" s="7"/>
      <c r="G1001" s="8"/>
      <c r="H1001" s="7"/>
      <c r="K1001" s="6"/>
    </row>
    <row r="1002" spans="1:11" x14ac:dyDescent="0.2">
      <c r="A1002" s="6"/>
      <c r="B1002" s="7"/>
      <c r="C1002" s="7"/>
      <c r="D1002" s="7"/>
      <c r="E1002" s="7"/>
      <c r="F1002" s="7"/>
      <c r="G1002" s="8"/>
      <c r="H1002" s="7"/>
      <c r="K1002" s="6"/>
    </row>
    <row r="1003" spans="1:11" x14ac:dyDescent="0.2">
      <c r="A1003" s="6"/>
      <c r="B1003" s="7"/>
      <c r="C1003" s="7"/>
      <c r="D1003" s="7"/>
      <c r="E1003" s="7"/>
      <c r="F1003" s="7"/>
      <c r="G1003" s="8"/>
      <c r="H1003" s="7"/>
      <c r="K1003" s="6"/>
    </row>
    <row r="1004" spans="1:11" x14ac:dyDescent="0.2">
      <c r="A1004" s="6"/>
      <c r="B1004" s="7"/>
      <c r="C1004" s="7"/>
      <c r="D1004" s="7"/>
      <c r="E1004" s="7"/>
      <c r="F1004" s="7"/>
      <c r="G1004" s="8"/>
      <c r="H1004" s="7"/>
      <c r="K1004" s="6"/>
    </row>
    <row r="1005" spans="1:11" x14ac:dyDescent="0.2">
      <c r="A1005" s="6"/>
      <c r="B1005" s="7"/>
      <c r="C1005" s="7"/>
      <c r="D1005" s="7"/>
      <c r="E1005" s="7"/>
      <c r="F1005" s="7"/>
      <c r="G1005" s="8"/>
      <c r="H1005" s="7"/>
      <c r="K1005" s="6"/>
    </row>
    <row r="1006" spans="1:11" x14ac:dyDescent="0.2">
      <c r="A1006" s="6"/>
      <c r="B1006" s="7"/>
      <c r="C1006" s="7"/>
      <c r="D1006" s="7"/>
      <c r="E1006" s="7"/>
      <c r="F1006" s="7"/>
      <c r="G1006" s="8"/>
      <c r="H1006" s="7"/>
      <c r="K1006" s="6"/>
    </row>
    <row r="1007" spans="1:11" x14ac:dyDescent="0.2">
      <c r="A1007" s="6"/>
      <c r="B1007" s="7"/>
      <c r="C1007" s="7"/>
      <c r="D1007" s="7"/>
      <c r="E1007" s="7"/>
      <c r="F1007" s="7"/>
      <c r="G1007" s="8"/>
      <c r="H1007" s="7"/>
      <c r="K1007" s="6"/>
    </row>
    <row r="1008" spans="1:11" x14ac:dyDescent="0.2">
      <c r="A1008" s="6"/>
      <c r="B1008" s="7"/>
      <c r="H1008" s="7"/>
      <c r="K1008" s="6"/>
    </row>
    <row r="1009" spans="1:11" x14ac:dyDescent="0.2">
      <c r="A1009" s="6"/>
      <c r="B1009" s="7"/>
      <c r="C1009" s="7"/>
      <c r="D1009" s="7"/>
      <c r="E1009" s="7"/>
      <c r="F1009" s="7"/>
      <c r="G1009" s="8"/>
      <c r="H1009" s="7"/>
      <c r="K1009" s="6"/>
    </row>
    <row r="1010" spans="1:11" x14ac:dyDescent="0.2">
      <c r="A1010" s="6"/>
      <c r="B1010" s="7"/>
      <c r="C1010" s="7"/>
      <c r="D1010" s="7"/>
      <c r="E1010" s="7"/>
      <c r="F1010" s="7"/>
      <c r="G1010" s="8"/>
      <c r="H1010" s="7"/>
      <c r="K1010" s="6"/>
    </row>
    <row r="1011" spans="1:11" x14ac:dyDescent="0.2">
      <c r="A1011" s="6"/>
      <c r="B1011" s="7"/>
      <c r="C1011" s="7"/>
      <c r="D1011" s="7"/>
      <c r="E1011" s="7"/>
      <c r="F1011" s="7"/>
      <c r="G1011" s="8"/>
      <c r="H1011" s="7"/>
      <c r="K1011" s="6"/>
    </row>
    <row r="1012" spans="1:11" x14ac:dyDescent="0.2">
      <c r="A1012" s="6"/>
      <c r="B1012" s="7"/>
      <c r="C1012" s="7"/>
      <c r="D1012" s="7"/>
      <c r="E1012" s="7"/>
      <c r="F1012" s="7"/>
      <c r="G1012" s="8"/>
      <c r="H1012" s="7"/>
      <c r="K1012" s="6"/>
    </row>
    <row r="1013" spans="1:11" x14ac:dyDescent="0.2">
      <c r="A1013" s="6"/>
      <c r="B1013" s="7"/>
      <c r="C1013" s="7"/>
      <c r="D1013" s="7"/>
      <c r="E1013" s="7"/>
      <c r="F1013" s="7"/>
      <c r="G1013" s="8"/>
      <c r="H1013" s="7"/>
      <c r="K1013" s="6"/>
    </row>
    <row r="1014" spans="1:11" x14ac:dyDescent="0.2">
      <c r="A1014" s="6"/>
      <c r="B1014" s="7"/>
      <c r="C1014" s="7"/>
      <c r="D1014" s="7"/>
      <c r="E1014" s="7"/>
      <c r="F1014" s="7"/>
      <c r="G1014" s="8"/>
      <c r="H1014" s="7"/>
      <c r="K1014" s="6"/>
    </row>
    <row r="1015" spans="1:11" x14ac:dyDescent="0.2">
      <c r="A1015" s="6"/>
      <c r="B1015" s="7"/>
      <c r="C1015" s="7"/>
      <c r="D1015" s="7"/>
      <c r="E1015" s="7"/>
      <c r="F1015" s="7"/>
      <c r="G1015" s="8"/>
      <c r="H1015" s="7"/>
      <c r="K1015" s="6"/>
    </row>
    <row r="1016" spans="1:11" x14ac:dyDescent="0.2">
      <c r="A1016" s="6"/>
      <c r="B1016" s="7"/>
      <c r="C1016" s="7"/>
      <c r="D1016" s="7"/>
      <c r="E1016" s="7"/>
      <c r="F1016" s="7"/>
      <c r="G1016" s="8"/>
      <c r="H1016" s="7"/>
      <c r="K1016" s="6"/>
    </row>
    <row r="1017" spans="1:11" x14ac:dyDescent="0.2">
      <c r="A1017" s="6"/>
      <c r="B1017" s="7"/>
      <c r="C1017" s="7"/>
      <c r="D1017" s="7"/>
      <c r="E1017" s="7"/>
      <c r="F1017" s="7"/>
      <c r="G1017" s="8"/>
      <c r="H1017" s="7"/>
      <c r="K1017" s="6"/>
    </row>
    <row r="1018" spans="1:11" x14ac:dyDescent="0.2">
      <c r="A1018" s="6"/>
      <c r="B1018" s="7"/>
      <c r="C1018" s="7"/>
      <c r="D1018" s="7"/>
      <c r="E1018" s="7"/>
      <c r="F1018" s="7"/>
      <c r="G1018" s="8"/>
      <c r="H1018" s="7"/>
      <c r="K1018" s="6"/>
    </row>
    <row r="1019" spans="1:11" x14ac:dyDescent="0.2">
      <c r="A1019" s="6"/>
      <c r="B1019" s="7"/>
      <c r="C1019" s="7"/>
      <c r="D1019" s="7"/>
      <c r="E1019" s="7"/>
      <c r="F1019" s="7"/>
      <c r="G1019" s="8"/>
      <c r="H1019" s="7"/>
      <c r="K1019" s="6"/>
    </row>
    <row r="1020" spans="1:11" x14ac:dyDescent="0.2">
      <c r="A1020" s="6"/>
      <c r="B1020" s="7"/>
      <c r="C1020" s="7"/>
      <c r="D1020" s="7"/>
      <c r="E1020" s="7"/>
      <c r="F1020" s="7"/>
      <c r="G1020" s="8"/>
      <c r="H1020" s="7"/>
      <c r="K1020" s="6"/>
    </row>
    <row r="1021" spans="1:11" x14ac:dyDescent="0.2">
      <c r="A1021" s="6"/>
      <c r="B1021" s="7"/>
      <c r="C1021" s="7"/>
      <c r="D1021" s="7"/>
      <c r="E1021" s="7"/>
      <c r="F1021" s="7"/>
      <c r="G1021" s="8"/>
      <c r="H1021" s="7"/>
      <c r="K1021" s="6"/>
    </row>
    <row r="1022" spans="1:11" x14ac:dyDescent="0.2">
      <c r="A1022" s="6"/>
      <c r="B1022" s="7"/>
      <c r="C1022" s="7"/>
      <c r="D1022" s="7"/>
      <c r="E1022" s="7"/>
      <c r="F1022" s="7"/>
      <c r="G1022" s="8"/>
      <c r="H1022" s="7"/>
      <c r="K1022" s="6"/>
    </row>
    <row r="1023" spans="1:11" x14ac:dyDescent="0.2">
      <c r="A1023" s="6"/>
      <c r="B1023" s="7"/>
      <c r="C1023" s="7"/>
      <c r="D1023" s="7"/>
      <c r="E1023" s="7"/>
      <c r="F1023" s="7"/>
      <c r="G1023" s="8"/>
      <c r="H1023" s="7"/>
      <c r="K1023" s="6"/>
    </row>
    <row r="1024" spans="1:11" x14ac:dyDescent="0.2">
      <c r="A1024" s="6"/>
      <c r="B1024" s="7"/>
      <c r="C1024" s="7"/>
      <c r="D1024" s="7"/>
      <c r="E1024" s="7"/>
      <c r="F1024" s="7"/>
      <c r="G1024" s="8"/>
      <c r="H1024" s="7"/>
      <c r="K1024" s="6"/>
    </row>
    <row r="1025" spans="1:11" x14ac:dyDescent="0.2">
      <c r="A1025" s="6"/>
      <c r="B1025" s="7"/>
      <c r="C1025" s="7"/>
      <c r="D1025" s="7"/>
      <c r="E1025" s="7"/>
      <c r="F1025" s="7"/>
      <c r="G1025" s="8"/>
      <c r="K1025" s="6"/>
    </row>
    <row r="1026" spans="1:11" x14ac:dyDescent="0.2">
      <c r="A1026" s="6"/>
      <c r="B1026" s="7"/>
      <c r="C1026" s="7"/>
      <c r="D1026" s="7"/>
      <c r="E1026" s="7"/>
      <c r="F1026" s="7"/>
      <c r="G1026" s="8"/>
      <c r="H1026" s="7"/>
      <c r="K1026" s="6"/>
    </row>
    <row r="1027" spans="1:11" x14ac:dyDescent="0.2">
      <c r="A1027" s="6"/>
      <c r="B1027" s="7"/>
      <c r="C1027" s="7"/>
      <c r="D1027" s="7"/>
      <c r="E1027" s="7"/>
      <c r="F1027" s="7"/>
      <c r="G1027" s="8"/>
      <c r="H1027" s="7"/>
      <c r="K1027" s="6"/>
    </row>
    <row r="1028" spans="1:11" x14ac:dyDescent="0.2">
      <c r="A1028" s="6"/>
      <c r="B1028" s="7"/>
      <c r="C1028" s="7"/>
      <c r="D1028" s="7"/>
      <c r="E1028" s="7"/>
      <c r="F1028" s="7"/>
      <c r="G1028" s="8"/>
      <c r="H1028" s="7"/>
      <c r="K1028" s="6"/>
    </row>
    <row r="1029" spans="1:11" x14ac:dyDescent="0.2">
      <c r="A1029" s="6"/>
      <c r="B1029" s="7"/>
      <c r="C1029" s="7"/>
      <c r="D1029" s="7"/>
      <c r="E1029" s="7"/>
      <c r="F1029" s="7"/>
      <c r="G1029" s="8"/>
      <c r="H1029" s="7"/>
      <c r="K1029" s="6"/>
    </row>
    <row r="1030" spans="1:11" x14ac:dyDescent="0.2">
      <c r="A1030" s="6"/>
      <c r="B1030" s="7"/>
      <c r="C1030" s="7"/>
      <c r="D1030" s="7"/>
      <c r="E1030" s="7"/>
      <c r="F1030" s="7"/>
      <c r="G1030" s="8"/>
      <c r="H1030" s="7"/>
      <c r="K1030" s="6"/>
    </row>
    <row r="1031" spans="1:11" x14ac:dyDescent="0.2">
      <c r="A1031" s="6"/>
      <c r="B1031" s="7"/>
      <c r="C1031" s="7"/>
      <c r="D1031" s="7"/>
      <c r="E1031" s="7"/>
      <c r="F1031" s="7"/>
      <c r="G1031" s="8"/>
      <c r="H1031" s="7"/>
      <c r="K1031" s="6"/>
    </row>
    <row r="1032" spans="1:11" x14ac:dyDescent="0.2">
      <c r="A1032" s="6"/>
      <c r="B1032" s="7"/>
      <c r="C1032" s="7"/>
      <c r="D1032" s="7"/>
      <c r="E1032" s="7"/>
      <c r="F1032" s="7"/>
      <c r="G1032" s="8"/>
      <c r="H1032" s="7"/>
      <c r="K1032" s="6"/>
    </row>
    <row r="1033" spans="1:11" x14ac:dyDescent="0.2">
      <c r="A1033" s="6"/>
      <c r="B1033" s="7"/>
      <c r="C1033" s="7"/>
      <c r="D1033" s="7"/>
      <c r="E1033" s="7"/>
      <c r="F1033" s="7"/>
      <c r="G1033" s="8"/>
      <c r="H1033" s="7"/>
      <c r="K1033" s="6"/>
    </row>
    <row r="1034" spans="1:11" x14ac:dyDescent="0.2">
      <c r="A1034" s="6"/>
      <c r="B1034" s="7"/>
      <c r="C1034" s="7"/>
      <c r="D1034" s="7"/>
      <c r="E1034" s="7"/>
      <c r="F1034" s="7"/>
      <c r="G1034" s="8"/>
      <c r="H1034" s="7"/>
      <c r="K1034" s="6"/>
    </row>
    <row r="1035" spans="1:11" x14ac:dyDescent="0.2">
      <c r="A1035" s="6"/>
      <c r="B1035" s="7"/>
      <c r="C1035" s="7"/>
      <c r="D1035" s="7"/>
      <c r="E1035" s="7"/>
      <c r="F1035" s="7"/>
      <c r="G1035" s="8"/>
      <c r="H1035" s="7"/>
      <c r="K1035" s="6"/>
    </row>
    <row r="1036" spans="1:11" x14ac:dyDescent="0.2">
      <c r="A1036" s="6"/>
      <c r="B1036" s="7"/>
      <c r="C1036" s="7"/>
      <c r="D1036" s="7"/>
      <c r="E1036" s="7"/>
      <c r="F1036" s="7"/>
      <c r="G1036" s="8"/>
      <c r="H1036" s="7"/>
      <c r="K1036" s="6"/>
    </row>
    <row r="1037" spans="1:11" x14ac:dyDescent="0.2">
      <c r="A1037" s="6"/>
      <c r="B1037" s="7"/>
      <c r="C1037" s="7"/>
      <c r="D1037" s="7"/>
      <c r="E1037" s="7"/>
      <c r="F1037" s="7"/>
      <c r="G1037" s="8"/>
      <c r="H1037" s="7"/>
      <c r="K1037" s="6"/>
    </row>
    <row r="1038" spans="1:11" x14ac:dyDescent="0.2">
      <c r="A1038" s="6"/>
      <c r="B1038" s="7"/>
      <c r="C1038" s="7"/>
      <c r="D1038" s="7"/>
      <c r="E1038" s="7"/>
      <c r="F1038" s="7"/>
      <c r="G1038" s="8"/>
      <c r="H1038" s="7"/>
      <c r="K1038" s="6"/>
    </row>
    <row r="1039" spans="1:11" x14ac:dyDescent="0.2">
      <c r="A1039" s="6"/>
      <c r="B1039" s="7"/>
      <c r="C1039" s="7"/>
      <c r="D1039" s="7"/>
      <c r="E1039" s="7"/>
      <c r="F1039" s="7"/>
      <c r="G1039" s="8"/>
      <c r="H1039" s="7"/>
      <c r="K1039" s="6"/>
    </row>
    <row r="1040" spans="1:11" x14ac:dyDescent="0.2">
      <c r="A1040" s="6"/>
      <c r="B1040" s="7"/>
      <c r="C1040" s="7"/>
      <c r="D1040" s="7"/>
      <c r="E1040" s="7"/>
      <c r="F1040" s="7"/>
      <c r="G1040" s="8"/>
      <c r="H1040" s="7"/>
      <c r="K1040" s="6"/>
    </row>
    <row r="1041" spans="1:11" x14ac:dyDescent="0.2">
      <c r="A1041" s="6"/>
      <c r="B1041" s="7"/>
      <c r="C1041" s="7"/>
      <c r="D1041" s="7"/>
      <c r="E1041" s="7"/>
      <c r="F1041" s="7"/>
      <c r="G1041" s="8"/>
      <c r="H1041" s="7"/>
      <c r="K1041" s="6"/>
    </row>
    <row r="1042" spans="1:11" x14ac:dyDescent="0.2">
      <c r="A1042" s="6"/>
      <c r="B1042" s="7"/>
      <c r="C1042" s="7"/>
      <c r="D1042" s="7"/>
      <c r="E1042" s="7"/>
      <c r="F1042" s="7"/>
      <c r="G1042" s="8"/>
      <c r="H1042" s="7"/>
      <c r="K1042" s="6"/>
    </row>
    <row r="1043" spans="1:11" x14ac:dyDescent="0.2">
      <c r="A1043" s="6"/>
      <c r="B1043" s="7"/>
      <c r="C1043" s="7"/>
      <c r="D1043" s="7"/>
      <c r="E1043" s="7"/>
      <c r="F1043" s="7"/>
      <c r="G1043" s="8"/>
      <c r="H1043" s="7"/>
      <c r="K1043" s="6"/>
    </row>
    <row r="1044" spans="1:11" x14ac:dyDescent="0.2">
      <c r="A1044" s="6"/>
      <c r="B1044" s="7"/>
      <c r="C1044" s="7"/>
      <c r="D1044" s="7"/>
      <c r="E1044" s="7"/>
      <c r="F1044" s="7"/>
      <c r="G1044" s="8"/>
      <c r="H1044" s="7"/>
      <c r="K1044" s="6"/>
    </row>
    <row r="1045" spans="1:11" x14ac:dyDescent="0.2">
      <c r="A1045" s="6"/>
      <c r="B1045" s="7"/>
      <c r="C1045" s="7"/>
      <c r="D1045" s="7"/>
      <c r="E1045" s="7"/>
      <c r="F1045" s="7"/>
      <c r="G1045" s="8"/>
      <c r="H1045" s="7"/>
      <c r="K1045" s="6"/>
    </row>
    <row r="1046" spans="1:11" x14ac:dyDescent="0.2">
      <c r="A1046" s="6"/>
      <c r="B1046" s="7"/>
      <c r="C1046" s="7"/>
      <c r="D1046" s="7"/>
      <c r="E1046" s="7"/>
      <c r="F1046" s="7"/>
      <c r="G1046" s="8"/>
      <c r="H1046" s="7"/>
      <c r="K1046" s="6"/>
    </row>
    <row r="1047" spans="1:11" x14ac:dyDescent="0.2">
      <c r="A1047" s="6"/>
      <c r="B1047" s="7"/>
      <c r="C1047" s="7"/>
      <c r="D1047" s="7"/>
      <c r="E1047" s="7"/>
      <c r="F1047" s="7"/>
      <c r="G1047" s="8"/>
      <c r="H1047" s="7"/>
      <c r="K1047" s="6"/>
    </row>
    <row r="1048" spans="1:11" x14ac:dyDescent="0.2">
      <c r="A1048" s="6"/>
      <c r="B1048" s="7"/>
      <c r="C1048" s="7"/>
      <c r="D1048" s="7"/>
      <c r="E1048" s="7"/>
      <c r="F1048" s="7"/>
      <c r="G1048" s="8"/>
      <c r="H1048" s="7"/>
      <c r="K1048" s="6"/>
    </row>
    <row r="1049" spans="1:11" x14ac:dyDescent="0.2">
      <c r="A1049" s="6"/>
      <c r="B1049" s="7"/>
      <c r="C1049" s="7"/>
      <c r="D1049" s="7"/>
      <c r="E1049" s="7"/>
      <c r="F1049" s="7"/>
      <c r="G1049" s="8"/>
      <c r="H1049" s="7"/>
      <c r="K1049" s="6"/>
    </row>
    <row r="1050" spans="1:11" x14ac:dyDescent="0.2">
      <c r="A1050" s="6"/>
      <c r="B1050" s="7"/>
      <c r="C1050" s="7"/>
      <c r="D1050" s="7"/>
      <c r="E1050" s="7"/>
      <c r="F1050" s="7"/>
      <c r="G1050" s="8"/>
      <c r="H1050" s="7"/>
      <c r="K1050" s="6"/>
    </row>
    <row r="1051" spans="1:11" x14ac:dyDescent="0.2">
      <c r="A1051" s="6"/>
      <c r="B1051" s="7"/>
      <c r="C1051" s="7"/>
      <c r="D1051" s="7"/>
      <c r="E1051" s="7"/>
      <c r="F1051" s="7"/>
      <c r="G1051" s="8"/>
      <c r="H1051" s="7"/>
      <c r="K1051" s="6"/>
    </row>
    <row r="1052" spans="1:11" x14ac:dyDescent="0.2">
      <c r="A1052" s="6"/>
      <c r="B1052" s="7"/>
      <c r="C1052" s="7"/>
      <c r="D1052" s="7"/>
      <c r="E1052" s="7"/>
      <c r="F1052" s="7"/>
      <c r="G1052" s="8"/>
      <c r="H1052" s="7"/>
      <c r="K1052" s="6"/>
    </row>
    <row r="1053" spans="1:11" x14ac:dyDescent="0.2">
      <c r="A1053" s="6"/>
      <c r="B1053" s="7"/>
      <c r="C1053" s="7"/>
      <c r="D1053" s="7"/>
      <c r="E1053" s="7"/>
      <c r="F1053" s="7"/>
      <c r="G1053" s="8"/>
      <c r="H1053" s="7"/>
      <c r="K1053" s="6"/>
    </row>
    <row r="1054" spans="1:11" x14ac:dyDescent="0.2">
      <c r="A1054" s="6"/>
      <c r="B1054" s="7"/>
      <c r="C1054" s="7"/>
      <c r="D1054" s="7"/>
      <c r="E1054" s="7"/>
      <c r="F1054" s="7"/>
      <c r="G1054" s="8"/>
      <c r="H1054" s="7"/>
      <c r="K1054" s="6"/>
    </row>
    <row r="1055" spans="1:11" x14ac:dyDescent="0.2">
      <c r="A1055" s="6"/>
      <c r="B1055" s="7"/>
      <c r="C1055" s="7"/>
      <c r="D1055" s="7"/>
      <c r="E1055" s="7"/>
      <c r="F1055" s="7"/>
      <c r="G1055" s="8"/>
      <c r="H1055" s="7"/>
      <c r="K1055" s="6"/>
    </row>
    <row r="1056" spans="1:11" x14ac:dyDescent="0.2">
      <c r="A1056" s="6"/>
      <c r="B1056" s="7"/>
      <c r="C1056" s="7"/>
      <c r="D1056" s="7"/>
      <c r="E1056" s="7"/>
      <c r="F1056" s="7"/>
      <c r="G1056" s="8"/>
      <c r="H1056" s="7"/>
      <c r="K1056" s="6"/>
    </row>
    <row r="1057" spans="1:11" x14ac:dyDescent="0.2">
      <c r="A1057" s="6"/>
      <c r="B1057" s="7"/>
      <c r="C1057" s="7"/>
      <c r="D1057" s="7"/>
      <c r="E1057" s="7"/>
      <c r="F1057" s="7"/>
      <c r="G1057" s="8"/>
      <c r="H1057" s="7"/>
      <c r="K1057" s="6"/>
    </row>
    <row r="1058" spans="1:11" x14ac:dyDescent="0.2">
      <c r="A1058" s="6"/>
      <c r="B1058" s="7"/>
      <c r="C1058" s="7"/>
      <c r="D1058" s="7"/>
      <c r="E1058" s="7"/>
      <c r="F1058" s="7"/>
      <c r="G1058" s="8"/>
      <c r="H1058" s="7"/>
      <c r="K1058" s="6"/>
    </row>
    <row r="1059" spans="1:11" x14ac:dyDescent="0.2">
      <c r="A1059" s="6"/>
      <c r="B1059" s="7"/>
      <c r="C1059" s="7"/>
      <c r="D1059" s="7"/>
      <c r="E1059" s="7"/>
      <c r="F1059" s="7"/>
      <c r="G1059" s="8"/>
      <c r="H1059" s="7"/>
      <c r="K1059" s="6"/>
    </row>
    <row r="1060" spans="1:11" x14ac:dyDescent="0.2">
      <c r="A1060" s="6"/>
      <c r="B1060" s="7"/>
      <c r="C1060" s="7"/>
      <c r="D1060" s="7"/>
      <c r="E1060" s="7"/>
      <c r="F1060" s="7"/>
      <c r="G1060" s="8"/>
      <c r="H1060" s="7"/>
      <c r="K1060" s="6"/>
    </row>
    <row r="1061" spans="1:11" x14ac:dyDescent="0.2">
      <c r="A1061" s="6"/>
      <c r="B1061" s="7"/>
      <c r="C1061" s="7"/>
      <c r="D1061" s="7"/>
      <c r="E1061" s="7"/>
      <c r="F1061" s="7"/>
      <c r="G1061" s="8"/>
      <c r="H1061" s="7"/>
      <c r="K1061" s="6"/>
    </row>
    <row r="1062" spans="1:11" x14ac:dyDescent="0.2">
      <c r="A1062" s="6"/>
      <c r="B1062" s="7"/>
      <c r="C1062" s="7"/>
      <c r="D1062" s="7"/>
      <c r="E1062" s="7"/>
      <c r="F1062" s="7"/>
      <c r="G1062" s="8"/>
      <c r="H1062" s="7"/>
      <c r="K1062" s="6"/>
    </row>
    <row r="1063" spans="1:11" x14ac:dyDescent="0.2">
      <c r="A1063" s="6"/>
      <c r="B1063" s="7"/>
      <c r="C1063" s="7"/>
      <c r="D1063" s="7"/>
      <c r="E1063" s="7"/>
      <c r="F1063" s="7"/>
      <c r="G1063" s="8"/>
      <c r="H1063" s="7"/>
      <c r="K1063" s="6"/>
    </row>
    <row r="1064" spans="1:11" x14ac:dyDescent="0.2">
      <c r="A1064" s="6"/>
      <c r="B1064" s="7"/>
      <c r="C1064" s="7"/>
      <c r="D1064" s="7"/>
      <c r="E1064" s="7"/>
      <c r="F1064" s="7"/>
      <c r="G1064" s="8"/>
      <c r="H1064" s="7"/>
      <c r="K1064" s="6"/>
    </row>
    <row r="1065" spans="1:11" x14ac:dyDescent="0.2">
      <c r="A1065" s="6"/>
      <c r="B1065" s="7"/>
      <c r="C1065" s="7"/>
      <c r="D1065" s="7"/>
      <c r="E1065" s="7"/>
      <c r="F1065" s="7"/>
      <c r="G1065" s="8"/>
      <c r="H1065" s="7"/>
      <c r="K1065" s="6"/>
    </row>
    <row r="1066" spans="1:11" x14ac:dyDescent="0.2">
      <c r="A1066" s="6"/>
      <c r="B1066" s="7"/>
      <c r="C1066" s="7"/>
      <c r="D1066" s="7"/>
      <c r="E1066" s="7"/>
      <c r="F1066" s="7"/>
      <c r="G1066" s="8"/>
      <c r="H1066" s="7"/>
      <c r="K1066" s="6"/>
    </row>
    <row r="1067" spans="1:11" x14ac:dyDescent="0.2">
      <c r="A1067" s="6"/>
      <c r="B1067" s="7"/>
      <c r="C1067" s="7"/>
      <c r="D1067" s="7"/>
      <c r="E1067" s="7"/>
      <c r="F1067" s="7"/>
      <c r="G1067" s="8"/>
      <c r="H1067" s="7"/>
      <c r="K1067" s="6"/>
    </row>
    <row r="1068" spans="1:11" x14ac:dyDescent="0.2">
      <c r="A1068" s="6"/>
      <c r="B1068" s="7"/>
      <c r="C1068" s="7"/>
      <c r="D1068" s="7"/>
      <c r="E1068" s="7"/>
      <c r="F1068" s="7"/>
      <c r="G1068" s="8"/>
      <c r="H1068" s="7"/>
      <c r="K1068" s="6"/>
    </row>
    <row r="1069" spans="1:11" x14ac:dyDescent="0.2">
      <c r="A1069" s="6"/>
      <c r="B1069" s="7"/>
      <c r="C1069" s="7"/>
      <c r="D1069" s="7"/>
      <c r="E1069" s="7"/>
      <c r="F1069" s="7"/>
      <c r="G1069" s="8"/>
      <c r="H1069" s="7"/>
      <c r="K1069" s="6"/>
    </row>
    <row r="1070" spans="1:11" x14ac:dyDescent="0.2">
      <c r="A1070" s="6"/>
      <c r="B1070" s="7"/>
      <c r="C1070" s="7"/>
      <c r="D1070" s="7"/>
      <c r="E1070" s="7"/>
      <c r="F1070" s="7"/>
      <c r="G1070" s="8"/>
      <c r="H1070" s="7"/>
      <c r="K1070" s="6"/>
    </row>
    <row r="1071" spans="1:11" x14ac:dyDescent="0.2">
      <c r="A1071" s="6"/>
      <c r="B1071" s="7"/>
      <c r="C1071" s="7"/>
      <c r="D1071" s="7"/>
      <c r="E1071" s="7"/>
      <c r="F1071" s="7"/>
      <c r="G1071" s="8"/>
      <c r="H1071" s="7"/>
      <c r="K1071" s="6"/>
    </row>
    <row r="1072" spans="1:11" x14ac:dyDescent="0.2">
      <c r="A1072" s="6"/>
      <c r="B1072" s="7"/>
      <c r="C1072" s="7"/>
      <c r="D1072" s="7"/>
      <c r="E1072" s="7"/>
      <c r="F1072" s="7"/>
      <c r="G1072" s="8"/>
      <c r="H1072" s="7"/>
      <c r="K1072" s="6"/>
    </row>
    <row r="1073" spans="1:11" x14ac:dyDescent="0.2">
      <c r="A1073" s="6"/>
      <c r="B1073" s="7"/>
      <c r="C1073" s="7"/>
      <c r="D1073" s="7"/>
      <c r="E1073" s="7"/>
      <c r="F1073" s="7"/>
      <c r="G1073" s="8"/>
      <c r="H1073" s="7"/>
      <c r="K1073" s="6"/>
    </row>
    <row r="1074" spans="1:11" x14ac:dyDescent="0.2">
      <c r="A1074" s="6"/>
      <c r="B1074" s="7"/>
      <c r="C1074" s="7"/>
      <c r="D1074" s="7"/>
      <c r="E1074" s="7"/>
      <c r="F1074" s="7"/>
      <c r="G1074" s="8"/>
      <c r="H1074" s="7"/>
      <c r="K1074" s="6"/>
    </row>
    <row r="1075" spans="1:11" x14ac:dyDescent="0.2">
      <c r="A1075" s="6"/>
      <c r="B1075" s="7"/>
      <c r="C1075" s="7"/>
      <c r="D1075" s="7"/>
      <c r="E1075" s="7"/>
      <c r="F1075" s="7"/>
      <c r="G1075" s="8"/>
      <c r="H1075" s="7"/>
      <c r="K1075" s="6"/>
    </row>
    <row r="1076" spans="1:11" x14ac:dyDescent="0.2">
      <c r="A1076" s="6"/>
      <c r="B1076" s="7"/>
      <c r="H1076" s="7"/>
      <c r="K1076" s="6"/>
    </row>
    <row r="1077" spans="1:11" x14ac:dyDescent="0.2">
      <c r="A1077" s="6"/>
      <c r="B1077" s="7"/>
      <c r="C1077" s="7"/>
      <c r="D1077" s="7"/>
      <c r="E1077" s="7"/>
      <c r="F1077" s="7"/>
      <c r="G1077" s="8"/>
      <c r="H1077" s="7"/>
      <c r="K1077" s="6"/>
    </row>
    <row r="1078" spans="1:11" x14ac:dyDescent="0.2">
      <c r="A1078" s="6"/>
      <c r="B1078" s="7"/>
      <c r="C1078" s="7"/>
      <c r="D1078" s="7"/>
      <c r="E1078" s="7"/>
      <c r="F1078" s="7"/>
      <c r="G1078" s="8"/>
      <c r="H1078" s="7"/>
      <c r="K1078" s="6"/>
    </row>
    <row r="1079" spans="1:11" x14ac:dyDescent="0.2">
      <c r="A1079" s="6"/>
      <c r="B1079" s="7"/>
      <c r="C1079" s="7"/>
      <c r="D1079" s="7"/>
      <c r="E1079" s="7"/>
      <c r="F1079" s="7"/>
      <c r="G1079" s="8"/>
      <c r="H1079" s="7"/>
      <c r="K1079" s="6"/>
    </row>
    <row r="1080" spans="1:11" x14ac:dyDescent="0.2">
      <c r="A1080" s="6"/>
      <c r="B1080" s="7"/>
      <c r="C1080" s="7"/>
      <c r="D1080" s="7"/>
      <c r="E1080" s="7"/>
      <c r="F1080" s="7"/>
      <c r="G1080" s="8"/>
      <c r="H1080" s="7"/>
      <c r="K1080" s="6"/>
    </row>
    <row r="1081" spans="1:11" x14ac:dyDescent="0.2">
      <c r="A1081" s="6"/>
      <c r="B1081" s="7"/>
      <c r="C1081" s="7"/>
      <c r="D1081" s="7"/>
      <c r="E1081" s="7"/>
      <c r="F1081" s="7"/>
      <c r="G1081" s="8"/>
      <c r="H1081" s="7"/>
      <c r="K1081" s="6"/>
    </row>
    <row r="1082" spans="1:11" x14ac:dyDescent="0.2">
      <c r="A1082" s="6"/>
      <c r="B1082" s="7"/>
      <c r="C1082" s="7"/>
      <c r="D1082" s="7"/>
      <c r="E1082" s="7"/>
      <c r="F1082" s="7"/>
      <c r="G1082" s="8"/>
      <c r="H1082" s="7"/>
      <c r="K1082" s="6"/>
    </row>
    <row r="1083" spans="1:11" x14ac:dyDescent="0.2">
      <c r="A1083" s="6"/>
      <c r="B1083" s="7"/>
      <c r="C1083" s="7"/>
      <c r="D1083" s="7"/>
      <c r="E1083" s="7"/>
      <c r="F1083" s="7"/>
      <c r="G1083" s="8"/>
      <c r="H1083" s="7"/>
      <c r="K1083" s="6"/>
    </row>
    <row r="1084" spans="1:11" x14ac:dyDescent="0.2">
      <c r="A1084" s="6"/>
      <c r="B1084" s="7"/>
      <c r="C1084" s="7"/>
      <c r="D1084" s="7"/>
      <c r="E1084" s="7"/>
      <c r="F1084" s="7"/>
      <c r="G1084" s="8"/>
      <c r="H1084" s="7"/>
      <c r="K1084" s="6"/>
    </row>
    <row r="1085" spans="1:11" x14ac:dyDescent="0.2">
      <c r="A1085" s="6"/>
      <c r="B1085" s="7"/>
      <c r="C1085" s="7"/>
      <c r="D1085" s="7"/>
      <c r="E1085" s="7"/>
      <c r="F1085" s="7"/>
      <c r="G1085" s="8"/>
      <c r="H1085" s="7"/>
      <c r="K1085" s="6"/>
    </row>
    <row r="1086" spans="1:11" x14ac:dyDescent="0.2">
      <c r="A1086" s="6"/>
      <c r="B1086" s="7"/>
      <c r="C1086" s="7"/>
      <c r="D1086" s="7"/>
      <c r="E1086" s="7"/>
      <c r="F1086" s="7"/>
      <c r="G1086" s="8"/>
      <c r="H1086" s="7"/>
      <c r="K1086" s="6"/>
    </row>
    <row r="1087" spans="1:11" x14ac:dyDescent="0.2">
      <c r="A1087" s="6"/>
      <c r="B1087" s="7"/>
      <c r="C1087" s="7"/>
      <c r="D1087" s="7"/>
      <c r="E1087" s="7"/>
      <c r="F1087" s="7"/>
      <c r="G1087" s="8"/>
      <c r="H1087" s="7"/>
      <c r="K1087" s="6"/>
    </row>
    <row r="1088" spans="1:11" x14ac:dyDescent="0.2">
      <c r="A1088" s="6"/>
      <c r="B1088" s="7"/>
      <c r="C1088" s="7"/>
      <c r="D1088" s="7"/>
      <c r="E1088" s="7"/>
      <c r="F1088" s="7"/>
      <c r="G1088" s="8"/>
      <c r="H1088" s="7"/>
      <c r="K1088" s="6"/>
    </row>
    <row r="1089" spans="1:11" x14ac:dyDescent="0.2">
      <c r="A1089" s="6"/>
      <c r="B1089" s="7"/>
      <c r="C1089" s="7"/>
      <c r="D1089" s="7"/>
      <c r="E1089" s="7"/>
      <c r="F1089" s="7"/>
      <c r="G1089" s="8"/>
      <c r="H1089" s="7"/>
      <c r="K1089" s="6"/>
    </row>
    <row r="1090" spans="1:11" x14ac:dyDescent="0.2">
      <c r="A1090" s="6"/>
      <c r="B1090" s="7"/>
      <c r="C1090" s="7"/>
      <c r="D1090" s="7"/>
      <c r="E1090" s="7"/>
      <c r="F1090" s="7"/>
      <c r="G1090" s="8"/>
      <c r="K1090" s="6"/>
    </row>
    <row r="1091" spans="1:11" x14ac:dyDescent="0.2">
      <c r="A1091" s="6"/>
      <c r="B1091" s="7"/>
      <c r="C1091" s="7"/>
      <c r="D1091" s="7"/>
      <c r="E1091" s="7"/>
      <c r="F1091" s="7"/>
      <c r="G1091" s="8"/>
      <c r="H1091" s="7"/>
      <c r="K1091" s="6"/>
    </row>
    <row r="1092" spans="1:11" x14ac:dyDescent="0.2">
      <c r="A1092" s="6"/>
      <c r="B1092" s="7"/>
      <c r="C1092" s="7"/>
      <c r="D1092" s="7"/>
      <c r="E1092" s="7"/>
      <c r="F1092" s="7"/>
      <c r="G1092" s="8"/>
      <c r="H1092" s="7"/>
      <c r="K1092" s="6"/>
    </row>
    <row r="1093" spans="1:11" x14ac:dyDescent="0.2">
      <c r="A1093" s="6"/>
      <c r="B1093" s="7"/>
      <c r="C1093" s="7"/>
      <c r="D1093" s="7"/>
      <c r="E1093" s="7"/>
      <c r="F1093" s="7"/>
      <c r="G1093" s="8"/>
      <c r="H1093" s="7"/>
      <c r="K1093" s="6"/>
    </row>
    <row r="1094" spans="1:11" x14ac:dyDescent="0.2">
      <c r="A1094" s="6"/>
      <c r="B1094" s="7"/>
      <c r="C1094" s="7"/>
      <c r="D1094" s="7"/>
      <c r="E1094" s="7"/>
      <c r="F1094" s="7"/>
      <c r="G1094" s="8"/>
      <c r="H1094" s="7"/>
      <c r="K1094" s="6"/>
    </row>
    <row r="1095" spans="1:11" x14ac:dyDescent="0.2">
      <c r="A1095" s="6"/>
      <c r="B1095" s="7"/>
      <c r="C1095" s="7"/>
      <c r="D1095" s="7"/>
      <c r="E1095" s="7"/>
      <c r="F1095" s="7"/>
      <c r="G1095" s="8"/>
      <c r="H1095" s="7"/>
      <c r="K1095" s="6"/>
    </row>
    <row r="1096" spans="1:11" x14ac:dyDescent="0.2">
      <c r="A1096" s="6"/>
      <c r="B1096" s="7"/>
      <c r="C1096" s="7"/>
      <c r="D1096" s="7"/>
      <c r="E1096" s="7"/>
      <c r="F1096" s="7"/>
      <c r="G1096" s="8"/>
      <c r="H1096" s="7"/>
      <c r="K1096" s="6"/>
    </row>
    <row r="1097" spans="1:11" x14ac:dyDescent="0.2">
      <c r="A1097" s="6"/>
      <c r="B1097" s="7"/>
      <c r="C1097" s="7"/>
      <c r="D1097" s="7"/>
      <c r="E1097" s="7"/>
      <c r="F1097" s="7"/>
      <c r="G1097" s="8"/>
      <c r="H1097" s="7"/>
      <c r="K1097" s="6"/>
    </row>
    <row r="1098" spans="1:11" x14ac:dyDescent="0.2">
      <c r="A1098" s="6"/>
      <c r="B1098" s="7"/>
      <c r="C1098" s="7"/>
      <c r="D1098" s="7"/>
      <c r="E1098" s="7"/>
      <c r="F1098" s="7"/>
      <c r="G1098" s="8"/>
      <c r="H1098" s="7"/>
      <c r="K1098" s="6"/>
    </row>
    <row r="1099" spans="1:11" x14ac:dyDescent="0.2">
      <c r="A1099" s="6"/>
      <c r="B1099" s="7"/>
      <c r="C1099" s="7"/>
      <c r="D1099" s="7"/>
      <c r="E1099" s="7"/>
      <c r="F1099" s="7"/>
      <c r="G1099" s="8"/>
      <c r="H1099" s="7"/>
      <c r="K1099" s="6"/>
    </row>
    <row r="1100" spans="1:11" x14ac:dyDescent="0.2">
      <c r="A1100" s="6"/>
      <c r="B1100" s="7"/>
      <c r="C1100" s="7"/>
      <c r="D1100" s="7"/>
      <c r="E1100" s="7"/>
      <c r="F1100" s="7"/>
      <c r="G1100" s="8"/>
      <c r="H1100" s="7"/>
      <c r="K1100" s="6"/>
    </row>
    <row r="1101" spans="1:11" x14ac:dyDescent="0.2">
      <c r="A1101" s="6"/>
      <c r="B1101" s="7"/>
      <c r="C1101" s="7"/>
      <c r="D1101" s="7"/>
      <c r="E1101" s="7"/>
      <c r="F1101" s="7"/>
      <c r="G1101" s="8"/>
      <c r="H1101" s="7"/>
      <c r="K1101" s="6"/>
    </row>
    <row r="1102" spans="1:11" x14ac:dyDescent="0.2">
      <c r="A1102" s="6"/>
      <c r="B1102" s="7"/>
      <c r="C1102" s="7"/>
      <c r="D1102" s="7"/>
      <c r="E1102" s="7"/>
      <c r="F1102" s="7"/>
      <c r="G1102" s="8"/>
      <c r="H1102" s="7"/>
      <c r="K1102" s="6"/>
    </row>
    <row r="1103" spans="1:11" x14ac:dyDescent="0.2">
      <c r="A1103" s="6"/>
      <c r="B1103" s="7"/>
      <c r="C1103" s="7"/>
      <c r="D1103" s="7"/>
      <c r="E1103" s="7"/>
      <c r="F1103" s="7"/>
      <c r="G1103" s="8"/>
      <c r="H1103" s="7"/>
      <c r="K1103" s="6"/>
    </row>
    <row r="1104" spans="1:11" x14ac:dyDescent="0.2">
      <c r="A1104" s="6"/>
      <c r="B1104" s="7"/>
      <c r="C1104" s="7"/>
      <c r="D1104" s="7"/>
      <c r="E1104" s="7"/>
      <c r="F1104" s="7"/>
      <c r="G1104" s="8"/>
      <c r="H1104" s="7"/>
      <c r="K1104" s="6"/>
    </row>
    <row r="1105" spans="1:11" x14ac:dyDescent="0.2">
      <c r="A1105" s="6"/>
      <c r="B1105" s="7"/>
      <c r="C1105" s="7"/>
      <c r="D1105" s="7"/>
      <c r="E1105" s="7"/>
      <c r="F1105" s="7"/>
      <c r="G1105" s="8"/>
      <c r="H1105" s="7"/>
      <c r="K1105" s="6"/>
    </row>
    <row r="1106" spans="1:11" x14ac:dyDescent="0.2">
      <c r="A1106" s="6"/>
      <c r="B1106" s="7"/>
      <c r="C1106" s="7"/>
      <c r="D1106" s="7"/>
      <c r="E1106" s="7"/>
      <c r="F1106" s="7"/>
      <c r="G1106" s="8"/>
      <c r="H1106" s="7"/>
      <c r="K1106" s="6"/>
    </row>
    <row r="1107" spans="1:11" x14ac:dyDescent="0.2">
      <c r="A1107" s="6"/>
      <c r="B1107" s="7"/>
      <c r="C1107" s="7"/>
      <c r="D1107" s="7"/>
      <c r="E1107" s="7"/>
      <c r="F1107" s="7"/>
      <c r="G1107" s="8"/>
      <c r="H1107" s="7"/>
      <c r="K1107" s="6"/>
    </row>
    <row r="1108" spans="1:11" x14ac:dyDescent="0.2">
      <c r="A1108" s="6"/>
      <c r="B1108" s="7"/>
      <c r="C1108" s="7"/>
      <c r="D1108" s="7"/>
      <c r="E1108" s="7"/>
      <c r="F1108" s="7"/>
      <c r="G1108" s="8"/>
      <c r="H1108" s="7"/>
      <c r="K1108" s="6"/>
    </row>
    <row r="1109" spans="1:11" x14ac:dyDescent="0.2">
      <c r="A1109" s="6"/>
      <c r="B1109" s="7"/>
      <c r="C1109" s="7"/>
      <c r="D1109" s="7"/>
      <c r="E1109" s="7"/>
      <c r="F1109" s="7"/>
      <c r="G1109" s="8"/>
      <c r="H1109" s="7"/>
      <c r="K1109" s="6"/>
    </row>
    <row r="1110" spans="1:11" x14ac:dyDescent="0.2">
      <c r="A1110" s="6"/>
      <c r="B1110" s="7"/>
      <c r="C1110" s="7"/>
      <c r="D1110" s="7"/>
      <c r="E1110" s="7"/>
      <c r="F1110" s="7"/>
      <c r="G1110" s="8"/>
      <c r="H1110" s="7"/>
      <c r="K1110" s="6"/>
    </row>
    <row r="1111" spans="1:11" x14ac:dyDescent="0.2">
      <c r="A1111" s="6"/>
      <c r="B1111" s="7"/>
      <c r="C1111" s="7"/>
      <c r="D1111" s="7"/>
      <c r="E1111" s="7"/>
      <c r="F1111" s="7"/>
      <c r="G1111" s="8"/>
      <c r="H1111" s="7"/>
      <c r="K1111" s="6"/>
    </row>
    <row r="1112" spans="1:11" x14ac:dyDescent="0.2">
      <c r="A1112" s="6"/>
      <c r="B1112" s="7"/>
      <c r="C1112" s="7"/>
      <c r="D1112" s="7"/>
      <c r="E1112" s="7"/>
      <c r="F1112" s="7"/>
      <c r="G1112" s="8"/>
      <c r="H1112" s="7"/>
      <c r="K1112" s="6"/>
    </row>
    <row r="1113" spans="1:11" x14ac:dyDescent="0.2">
      <c r="A1113" s="6"/>
      <c r="B1113" s="7"/>
      <c r="C1113" s="7"/>
      <c r="D1113" s="7"/>
      <c r="E1113" s="7"/>
      <c r="F1113" s="7"/>
      <c r="G1113" s="8"/>
      <c r="H1113" s="7"/>
      <c r="K1113" s="6"/>
    </row>
    <row r="1114" spans="1:11" x14ac:dyDescent="0.2">
      <c r="A1114" s="6"/>
      <c r="B1114" s="7"/>
      <c r="C1114" s="7"/>
      <c r="D1114" s="7"/>
      <c r="E1114" s="7"/>
      <c r="F1114" s="7"/>
      <c r="G1114" s="8"/>
      <c r="H1114" s="7"/>
      <c r="K1114" s="6"/>
    </row>
    <row r="1115" spans="1:11" x14ac:dyDescent="0.2">
      <c r="A1115" s="6"/>
      <c r="B1115" s="7"/>
      <c r="C1115" s="7"/>
      <c r="D1115" s="7"/>
      <c r="E1115" s="7"/>
      <c r="F1115" s="7"/>
      <c r="G1115" s="8"/>
      <c r="H1115" s="7"/>
      <c r="K1115" s="6"/>
    </row>
    <row r="1116" spans="1:11" x14ac:dyDescent="0.2">
      <c r="A1116" s="6"/>
      <c r="B1116" s="7"/>
      <c r="C1116" s="7"/>
      <c r="D1116" s="7"/>
      <c r="E1116" s="7"/>
      <c r="F1116" s="7"/>
      <c r="G1116" s="8"/>
      <c r="H1116" s="7"/>
      <c r="K1116" s="6"/>
    </row>
    <row r="1117" spans="1:11" x14ac:dyDescent="0.2">
      <c r="A1117" s="6"/>
      <c r="B1117" s="7"/>
      <c r="C1117" s="7"/>
      <c r="D1117" s="7"/>
      <c r="E1117" s="7"/>
      <c r="F1117" s="7"/>
      <c r="G1117" s="8"/>
      <c r="H1117" s="7"/>
      <c r="K1117" s="6"/>
    </row>
    <row r="1118" spans="1:11" x14ac:dyDescent="0.2">
      <c r="A1118" s="6"/>
      <c r="B1118" s="7"/>
      <c r="C1118" s="7"/>
      <c r="D1118" s="7"/>
      <c r="E1118" s="7"/>
      <c r="F1118" s="7"/>
      <c r="G1118" s="8"/>
      <c r="H1118" s="7"/>
      <c r="K1118" s="6"/>
    </row>
    <row r="1119" spans="1:11" x14ac:dyDescent="0.2">
      <c r="A1119" s="6"/>
      <c r="B1119" s="7"/>
      <c r="C1119" s="7"/>
      <c r="D1119" s="7"/>
      <c r="E1119" s="7"/>
      <c r="F1119" s="7"/>
      <c r="G1119" s="8"/>
      <c r="H1119" s="7"/>
      <c r="K1119" s="6"/>
    </row>
    <row r="1120" spans="1:11" x14ac:dyDescent="0.2">
      <c r="A1120" s="6"/>
      <c r="B1120" s="7"/>
      <c r="C1120" s="7"/>
      <c r="D1120" s="7"/>
      <c r="E1120" s="7"/>
      <c r="F1120" s="7"/>
      <c r="G1120" s="8"/>
      <c r="H1120" s="7"/>
      <c r="K1120" s="6"/>
    </row>
    <row r="1121" spans="1:11" x14ac:dyDescent="0.2">
      <c r="A1121" s="6"/>
      <c r="B1121" s="7"/>
      <c r="C1121" s="7"/>
      <c r="D1121" s="7"/>
      <c r="E1121" s="7"/>
      <c r="F1121" s="7"/>
      <c r="G1121" s="8"/>
      <c r="K1121" s="6"/>
    </row>
    <row r="1122" spans="1:11" x14ac:dyDescent="0.2">
      <c r="A1122" s="6"/>
      <c r="B1122" s="7"/>
      <c r="C1122" s="7"/>
      <c r="D1122" s="7"/>
      <c r="E1122" s="7"/>
      <c r="F1122" s="7"/>
      <c r="G1122" s="8"/>
      <c r="H1122" s="7"/>
      <c r="K1122" s="6"/>
    </row>
    <row r="1123" spans="1:11" x14ac:dyDescent="0.2">
      <c r="A1123" s="6"/>
      <c r="B1123" s="7"/>
      <c r="C1123" s="7"/>
      <c r="D1123" s="7"/>
      <c r="E1123" s="7"/>
      <c r="F1123" s="7"/>
      <c r="G1123" s="8"/>
      <c r="H1123" s="7"/>
      <c r="K1123" s="6"/>
    </row>
    <row r="1124" spans="1:11" x14ac:dyDescent="0.2">
      <c r="A1124" s="6"/>
      <c r="B1124" s="7"/>
      <c r="C1124" s="7"/>
      <c r="D1124" s="7"/>
      <c r="E1124" s="7"/>
      <c r="F1124" s="7"/>
      <c r="G1124" s="8"/>
      <c r="H1124" s="7"/>
      <c r="K1124" s="6"/>
    </row>
    <row r="1125" spans="1:11" x14ac:dyDescent="0.2">
      <c r="A1125" s="6"/>
      <c r="B1125" s="7"/>
      <c r="C1125" s="7"/>
      <c r="D1125" s="7"/>
      <c r="E1125" s="7"/>
      <c r="F1125" s="7"/>
      <c r="G1125" s="8"/>
      <c r="H1125" s="7"/>
      <c r="K1125" s="6"/>
    </row>
    <row r="1126" spans="1:11" x14ac:dyDescent="0.2">
      <c r="A1126" s="6"/>
      <c r="B1126" s="7"/>
      <c r="C1126" s="7"/>
      <c r="D1126" s="7"/>
      <c r="E1126" s="7"/>
      <c r="F1126" s="7"/>
      <c r="G1126" s="8"/>
      <c r="H1126" s="7"/>
      <c r="K1126" s="6"/>
    </row>
    <row r="1127" spans="1:11" x14ac:dyDescent="0.2">
      <c r="A1127" s="6"/>
      <c r="B1127" s="7"/>
      <c r="C1127" s="7"/>
      <c r="D1127" s="7"/>
      <c r="E1127" s="7"/>
      <c r="F1127" s="7"/>
      <c r="G1127" s="8"/>
      <c r="H1127" s="7"/>
      <c r="K1127" s="6"/>
    </row>
    <row r="1128" spans="1:11" x14ac:dyDescent="0.2">
      <c r="A1128" s="6"/>
      <c r="B1128" s="7"/>
      <c r="C1128" s="7"/>
      <c r="D1128" s="7"/>
      <c r="E1128" s="7"/>
      <c r="F1128" s="7"/>
      <c r="G1128" s="8"/>
      <c r="H1128" s="7"/>
      <c r="K1128" s="6"/>
    </row>
    <row r="1129" spans="1:11" x14ac:dyDescent="0.2">
      <c r="A1129" s="6"/>
      <c r="B1129" s="7"/>
      <c r="C1129" s="7"/>
      <c r="D1129" s="7"/>
      <c r="E1129" s="7"/>
      <c r="F1129" s="7"/>
      <c r="G1129" s="8"/>
      <c r="H1129" s="7"/>
      <c r="K1129" s="6"/>
    </row>
    <row r="1130" spans="1:11" x14ac:dyDescent="0.2">
      <c r="A1130" s="6"/>
      <c r="B1130" s="7"/>
      <c r="C1130" s="7"/>
      <c r="D1130" s="7"/>
      <c r="E1130" s="7"/>
      <c r="F1130" s="7"/>
      <c r="G1130" s="8"/>
      <c r="H1130" s="7"/>
      <c r="K1130" s="6"/>
    </row>
    <row r="1131" spans="1:11" x14ac:dyDescent="0.2">
      <c r="A1131" s="6"/>
      <c r="B1131" s="7"/>
      <c r="C1131" s="7"/>
      <c r="D1131" s="7"/>
      <c r="E1131" s="7"/>
      <c r="F1131" s="7"/>
      <c r="G1131" s="8"/>
      <c r="H1131" s="7"/>
      <c r="K1131" s="6"/>
    </row>
    <row r="1132" spans="1:11" x14ac:dyDescent="0.2">
      <c r="A1132" s="6"/>
      <c r="B1132" s="7"/>
      <c r="C1132" s="7"/>
      <c r="D1132" s="7"/>
      <c r="E1132" s="7"/>
      <c r="F1132" s="7"/>
      <c r="G1132" s="8"/>
      <c r="H1132" s="7"/>
      <c r="K1132" s="6"/>
    </row>
    <row r="1133" spans="1:11" x14ac:dyDescent="0.2">
      <c r="A1133" s="6"/>
      <c r="B1133" s="7"/>
      <c r="C1133" s="7"/>
      <c r="D1133" s="7"/>
      <c r="E1133" s="7"/>
      <c r="F1133" s="7"/>
      <c r="G1133" s="8"/>
      <c r="H1133" s="7"/>
      <c r="K1133" s="6"/>
    </row>
    <row r="1134" spans="1:11" x14ac:dyDescent="0.2">
      <c r="A1134" s="6"/>
      <c r="B1134" s="7"/>
      <c r="C1134" s="7"/>
      <c r="D1134" s="7"/>
      <c r="E1134" s="7"/>
      <c r="F1134" s="7"/>
      <c r="G1134" s="8"/>
      <c r="H1134" s="7"/>
      <c r="K1134" s="6"/>
    </row>
    <row r="1135" spans="1:11" x14ac:dyDescent="0.2">
      <c r="A1135" s="6"/>
      <c r="B1135" s="7"/>
      <c r="C1135" s="7"/>
      <c r="D1135" s="7"/>
      <c r="E1135" s="7"/>
      <c r="F1135" s="7"/>
      <c r="G1135" s="8"/>
      <c r="H1135" s="7"/>
      <c r="K1135" s="6"/>
    </row>
    <row r="1136" spans="1:11" x14ac:dyDescent="0.2">
      <c r="A1136" s="6"/>
      <c r="B1136" s="7"/>
      <c r="C1136" s="7"/>
      <c r="D1136" s="7"/>
      <c r="E1136" s="7"/>
      <c r="F1136" s="7"/>
      <c r="G1136" s="8"/>
      <c r="H1136" s="7"/>
      <c r="K1136" s="6"/>
    </row>
    <row r="1137" spans="1:11" x14ac:dyDescent="0.2">
      <c r="A1137" s="6"/>
      <c r="B1137" s="7"/>
      <c r="C1137" s="7"/>
      <c r="D1137" s="7"/>
      <c r="E1137" s="7"/>
      <c r="F1137" s="7"/>
      <c r="G1137" s="8"/>
      <c r="H1137" s="7"/>
      <c r="K1137" s="6"/>
    </row>
    <row r="1138" spans="1:11" x14ac:dyDescent="0.2">
      <c r="A1138" s="6"/>
      <c r="B1138" s="7"/>
      <c r="C1138" s="7"/>
      <c r="D1138" s="7"/>
      <c r="E1138" s="7"/>
      <c r="F1138" s="7"/>
      <c r="G1138" s="8"/>
      <c r="H1138" s="7"/>
      <c r="K1138" s="6"/>
    </row>
    <row r="1139" spans="1:11" x14ac:dyDescent="0.2">
      <c r="A1139" s="6"/>
      <c r="B1139" s="7"/>
      <c r="C1139" s="7"/>
      <c r="D1139" s="7"/>
      <c r="E1139" s="7"/>
      <c r="F1139" s="7"/>
      <c r="G1139" s="8"/>
      <c r="H1139" s="7"/>
      <c r="K1139" s="6"/>
    </row>
    <row r="1140" spans="1:11" x14ac:dyDescent="0.2">
      <c r="A1140" s="6"/>
      <c r="B1140" s="7"/>
      <c r="H1140" s="7"/>
      <c r="K1140" s="6"/>
    </row>
    <row r="1141" spans="1:11" x14ac:dyDescent="0.2">
      <c r="A1141" s="6"/>
      <c r="B1141" s="7"/>
      <c r="C1141" s="7"/>
      <c r="D1141" s="7"/>
      <c r="E1141" s="7"/>
      <c r="F1141" s="7"/>
      <c r="G1141" s="8"/>
      <c r="H1141" s="7"/>
      <c r="K1141" s="6"/>
    </row>
    <row r="1142" spans="1:11" x14ac:dyDescent="0.2">
      <c r="A1142" s="6"/>
      <c r="B1142" s="7"/>
      <c r="C1142" s="7"/>
      <c r="D1142" s="7"/>
      <c r="E1142" s="7"/>
      <c r="F1142" s="7"/>
      <c r="G1142" s="8"/>
      <c r="H1142" s="7"/>
      <c r="K1142" s="6"/>
    </row>
    <row r="1143" spans="1:11" x14ac:dyDescent="0.2">
      <c r="A1143" s="6"/>
      <c r="B1143" s="7"/>
      <c r="C1143" s="7"/>
      <c r="D1143" s="7"/>
      <c r="E1143" s="7"/>
      <c r="F1143" s="7"/>
      <c r="G1143" s="8"/>
      <c r="H1143" s="7"/>
      <c r="K1143" s="6"/>
    </row>
    <row r="1144" spans="1:11" x14ac:dyDescent="0.2">
      <c r="A1144" s="6"/>
      <c r="B1144" s="7"/>
      <c r="C1144" s="7"/>
      <c r="D1144" s="7"/>
      <c r="E1144" s="7"/>
      <c r="F1144" s="7"/>
      <c r="G1144" s="8"/>
      <c r="H1144" s="7"/>
      <c r="K1144" s="6"/>
    </row>
    <row r="1145" spans="1:11" x14ac:dyDescent="0.2">
      <c r="A1145" s="6"/>
      <c r="B1145" s="7"/>
      <c r="C1145" s="7"/>
      <c r="D1145" s="7"/>
      <c r="E1145" s="7"/>
      <c r="F1145" s="7"/>
      <c r="G1145" s="8"/>
      <c r="H1145" s="7"/>
      <c r="K1145" s="6"/>
    </row>
    <row r="1146" spans="1:11" x14ac:dyDescent="0.2">
      <c r="A1146" s="6"/>
      <c r="B1146" s="7"/>
      <c r="C1146" s="7"/>
      <c r="D1146" s="7"/>
      <c r="E1146" s="7"/>
      <c r="F1146" s="7"/>
      <c r="G1146" s="8"/>
      <c r="H1146" s="7"/>
      <c r="K1146" s="6"/>
    </row>
    <row r="1147" spans="1:11" x14ac:dyDescent="0.2">
      <c r="A1147" s="6"/>
      <c r="B1147" s="7"/>
      <c r="C1147" s="7"/>
      <c r="D1147" s="7"/>
      <c r="E1147" s="7"/>
      <c r="F1147" s="7"/>
      <c r="G1147" s="8"/>
      <c r="H1147" s="7"/>
      <c r="K1147" s="6"/>
    </row>
    <row r="1148" spans="1:11" x14ac:dyDescent="0.2">
      <c r="A1148" s="6"/>
      <c r="B1148" s="7"/>
      <c r="C1148" s="7"/>
      <c r="D1148" s="7"/>
      <c r="E1148" s="7"/>
      <c r="F1148" s="7"/>
      <c r="G1148" s="8"/>
      <c r="H1148" s="7"/>
      <c r="K1148" s="6"/>
    </row>
    <row r="1149" spans="1:11" x14ac:dyDescent="0.2">
      <c r="A1149" s="6"/>
      <c r="B1149" s="7"/>
      <c r="C1149" s="7"/>
      <c r="D1149" s="7"/>
      <c r="E1149" s="7"/>
      <c r="F1149" s="7"/>
      <c r="G1149" s="8"/>
      <c r="H1149" s="7"/>
      <c r="K1149" s="6"/>
    </row>
    <row r="1150" spans="1:11" x14ac:dyDescent="0.2">
      <c r="A1150" s="6"/>
      <c r="B1150" s="7"/>
      <c r="C1150" s="7"/>
      <c r="D1150" s="7"/>
      <c r="E1150" s="7"/>
      <c r="F1150" s="7"/>
      <c r="G1150" s="8"/>
      <c r="K1150" s="6"/>
    </row>
    <row r="1151" spans="1:11" x14ac:dyDescent="0.2">
      <c r="A1151" s="6"/>
      <c r="B1151" s="7"/>
      <c r="C1151" s="7"/>
      <c r="D1151" s="7"/>
      <c r="E1151" s="7"/>
      <c r="F1151" s="7"/>
      <c r="G1151" s="8"/>
      <c r="H1151" s="7"/>
      <c r="K1151" s="6"/>
    </row>
    <row r="1152" spans="1:11" x14ac:dyDescent="0.2">
      <c r="A1152" s="6"/>
      <c r="B1152" s="7"/>
      <c r="C1152" s="7"/>
      <c r="D1152" s="7"/>
      <c r="E1152" s="7"/>
      <c r="F1152" s="7"/>
      <c r="G1152" s="8"/>
      <c r="H1152" s="7"/>
      <c r="K1152" s="6"/>
    </row>
    <row r="1153" spans="1:11" x14ac:dyDescent="0.2">
      <c r="A1153" s="6"/>
      <c r="B1153" s="7"/>
      <c r="C1153" s="7"/>
      <c r="D1153" s="7"/>
      <c r="E1153" s="7"/>
      <c r="F1153" s="7"/>
      <c r="G1153" s="8"/>
      <c r="H1153" s="7"/>
      <c r="K1153" s="6"/>
    </row>
    <row r="1154" spans="1:11" x14ac:dyDescent="0.2">
      <c r="A1154" s="6"/>
      <c r="B1154" s="7"/>
      <c r="C1154" s="7"/>
      <c r="D1154" s="7"/>
      <c r="E1154" s="7"/>
      <c r="F1154" s="7"/>
      <c r="G1154" s="8"/>
      <c r="H1154" s="7"/>
      <c r="K1154" s="6"/>
    </row>
    <row r="1155" spans="1:11" x14ac:dyDescent="0.2">
      <c r="A1155" s="6"/>
      <c r="B1155" s="7"/>
      <c r="C1155" s="7"/>
      <c r="D1155" s="7"/>
      <c r="E1155" s="7"/>
      <c r="F1155" s="7"/>
      <c r="G1155" s="8"/>
      <c r="H1155" s="7"/>
      <c r="K1155" s="6"/>
    </row>
    <row r="1156" spans="1:11" x14ac:dyDescent="0.2">
      <c r="A1156" s="6"/>
      <c r="B1156" s="7"/>
      <c r="C1156" s="7"/>
      <c r="D1156" s="7"/>
      <c r="E1156" s="7"/>
      <c r="F1156" s="7"/>
      <c r="G1156" s="8"/>
      <c r="H1156" s="7"/>
      <c r="K1156" s="6"/>
    </row>
    <row r="1157" spans="1:11" x14ac:dyDescent="0.2">
      <c r="A1157" s="6"/>
      <c r="B1157" s="7"/>
      <c r="C1157" s="7"/>
      <c r="D1157" s="7"/>
      <c r="E1157" s="7"/>
      <c r="F1157" s="7"/>
      <c r="G1157" s="8"/>
      <c r="H1157" s="7"/>
      <c r="K1157" s="6"/>
    </row>
    <row r="1158" spans="1:11" x14ac:dyDescent="0.2">
      <c r="A1158" s="6"/>
      <c r="B1158" s="7"/>
      <c r="C1158" s="7"/>
      <c r="D1158" s="7"/>
      <c r="E1158" s="7"/>
      <c r="F1158" s="7"/>
      <c r="G1158" s="8"/>
      <c r="H1158" s="7"/>
      <c r="K1158" s="6"/>
    </row>
    <row r="1159" spans="1:11" x14ac:dyDescent="0.2">
      <c r="A1159" s="6"/>
      <c r="B1159" s="7"/>
      <c r="C1159" s="7"/>
      <c r="D1159" s="7"/>
      <c r="E1159" s="7"/>
      <c r="F1159" s="7"/>
      <c r="G1159" s="8"/>
      <c r="H1159" s="7"/>
      <c r="K1159" s="6"/>
    </row>
    <row r="1160" spans="1:11" x14ac:dyDescent="0.2">
      <c r="A1160" s="6"/>
      <c r="B1160" s="7"/>
      <c r="C1160" s="7"/>
      <c r="D1160" s="7"/>
      <c r="E1160" s="7"/>
      <c r="F1160" s="7"/>
      <c r="G1160" s="8"/>
      <c r="H1160" s="7"/>
      <c r="K1160" s="6"/>
    </row>
    <row r="1161" spans="1:11" x14ac:dyDescent="0.2">
      <c r="A1161" s="6"/>
      <c r="B1161" s="7"/>
      <c r="C1161" s="7"/>
      <c r="D1161" s="7"/>
      <c r="E1161" s="7"/>
      <c r="F1161" s="7"/>
      <c r="G1161" s="8"/>
      <c r="H1161" s="7"/>
      <c r="K1161" s="6"/>
    </row>
    <row r="1162" spans="1:11" x14ac:dyDescent="0.2">
      <c r="A1162" s="6"/>
      <c r="B1162" s="7"/>
      <c r="C1162" s="7"/>
      <c r="D1162" s="7"/>
      <c r="E1162" s="7"/>
      <c r="F1162" s="7"/>
      <c r="G1162" s="8"/>
      <c r="H1162" s="7"/>
      <c r="K1162" s="6"/>
    </row>
    <row r="1163" spans="1:11" x14ac:dyDescent="0.2">
      <c r="A1163" s="6"/>
      <c r="B1163" s="7"/>
      <c r="C1163" s="7"/>
      <c r="D1163" s="7"/>
      <c r="E1163" s="7"/>
      <c r="F1163" s="7"/>
      <c r="G1163" s="8"/>
      <c r="H1163" s="7"/>
      <c r="K1163" s="6"/>
    </row>
    <row r="1164" spans="1:11" x14ac:dyDescent="0.2">
      <c r="A1164" s="6"/>
      <c r="B1164" s="7"/>
      <c r="C1164" s="7"/>
      <c r="D1164" s="7"/>
      <c r="E1164" s="7"/>
      <c r="F1164" s="7"/>
      <c r="G1164" s="8"/>
      <c r="H1164" s="7"/>
      <c r="K1164" s="6"/>
    </row>
    <row r="1165" spans="1:11" x14ac:dyDescent="0.2">
      <c r="A1165" s="6"/>
      <c r="B1165" s="7"/>
      <c r="C1165" s="7"/>
      <c r="D1165" s="7"/>
      <c r="E1165" s="7"/>
      <c r="F1165" s="7"/>
      <c r="G1165" s="8"/>
      <c r="H1165" s="7"/>
      <c r="K1165" s="6"/>
    </row>
    <row r="1166" spans="1:11" x14ac:dyDescent="0.2">
      <c r="A1166" s="6"/>
      <c r="B1166" s="7"/>
      <c r="C1166" s="7"/>
      <c r="D1166" s="7"/>
      <c r="E1166" s="7"/>
      <c r="F1166" s="7"/>
      <c r="G1166" s="8"/>
      <c r="H1166" s="7"/>
      <c r="K1166" s="6"/>
    </row>
    <row r="1167" spans="1:11" x14ac:dyDescent="0.2">
      <c r="A1167" s="6"/>
      <c r="B1167" s="7"/>
      <c r="C1167" s="7"/>
      <c r="D1167" s="7"/>
      <c r="E1167" s="7"/>
      <c r="F1167" s="7"/>
      <c r="G1167" s="8"/>
      <c r="H1167" s="7"/>
      <c r="K1167" s="6"/>
    </row>
    <row r="1168" spans="1:11" x14ac:dyDescent="0.2">
      <c r="A1168" s="6"/>
      <c r="B1168" s="7"/>
      <c r="C1168" s="7"/>
      <c r="D1168" s="7"/>
      <c r="E1168" s="7"/>
      <c r="F1168" s="7"/>
      <c r="G1168" s="8"/>
      <c r="H1168" s="7"/>
      <c r="K1168" s="6"/>
    </row>
    <row r="1169" spans="1:11" x14ac:dyDescent="0.2">
      <c r="A1169" s="6"/>
      <c r="B1169" s="7"/>
      <c r="C1169" s="7"/>
      <c r="D1169" s="7"/>
      <c r="E1169" s="7"/>
      <c r="F1169" s="7"/>
      <c r="G1169" s="8"/>
      <c r="H1169" s="7"/>
      <c r="K1169" s="6"/>
    </row>
    <row r="1170" spans="1:11" x14ac:dyDescent="0.2">
      <c r="A1170" s="6"/>
      <c r="B1170" s="7"/>
      <c r="C1170" s="7"/>
      <c r="D1170" s="7"/>
      <c r="E1170" s="7"/>
      <c r="F1170" s="7"/>
      <c r="G1170" s="8"/>
      <c r="H1170" s="7"/>
      <c r="K1170" s="6"/>
    </row>
    <row r="1171" spans="1:11" x14ac:dyDescent="0.2">
      <c r="A1171" s="6"/>
      <c r="B1171" s="7"/>
      <c r="C1171" s="7"/>
      <c r="D1171" s="7"/>
      <c r="E1171" s="7"/>
      <c r="F1171" s="7"/>
      <c r="G1171" s="8"/>
      <c r="H1171" s="7"/>
      <c r="K1171" s="6"/>
    </row>
    <row r="1172" spans="1:11" x14ac:dyDescent="0.2">
      <c r="A1172" s="6"/>
      <c r="B1172" s="7"/>
      <c r="C1172" s="7"/>
      <c r="D1172" s="7"/>
      <c r="E1172" s="7"/>
      <c r="F1172" s="7"/>
      <c r="G1172" s="8"/>
      <c r="H1172" s="7"/>
      <c r="K1172" s="6"/>
    </row>
    <row r="1173" spans="1:11" x14ac:dyDescent="0.2">
      <c r="A1173" s="6"/>
      <c r="B1173" s="7"/>
      <c r="C1173" s="7"/>
      <c r="D1173" s="7"/>
      <c r="E1173" s="7"/>
      <c r="F1173" s="7"/>
      <c r="G1173" s="8"/>
      <c r="H1173" s="7"/>
      <c r="K1173" s="6"/>
    </row>
    <row r="1174" spans="1:11" x14ac:dyDescent="0.2">
      <c r="A1174" s="6"/>
      <c r="B1174" s="7"/>
      <c r="C1174" s="7"/>
      <c r="D1174" s="7"/>
      <c r="E1174" s="7"/>
      <c r="F1174" s="7"/>
      <c r="G1174" s="8"/>
      <c r="H1174" s="7"/>
      <c r="K1174" s="6"/>
    </row>
    <row r="1175" spans="1:11" x14ac:dyDescent="0.2">
      <c r="A1175" s="6"/>
      <c r="B1175" s="7"/>
      <c r="C1175" s="7"/>
      <c r="D1175" s="7"/>
      <c r="E1175" s="7"/>
      <c r="F1175" s="7"/>
      <c r="G1175" s="8"/>
      <c r="H1175" s="7"/>
      <c r="K1175" s="6"/>
    </row>
    <row r="1176" spans="1:11" x14ac:dyDescent="0.2">
      <c r="A1176" s="6"/>
      <c r="B1176" s="7"/>
      <c r="C1176" s="7"/>
      <c r="D1176" s="7"/>
      <c r="E1176" s="7"/>
      <c r="F1176" s="7"/>
      <c r="G1176" s="8"/>
      <c r="H1176" s="7"/>
      <c r="K1176" s="6"/>
    </row>
    <row r="1177" spans="1:11" x14ac:dyDescent="0.2">
      <c r="A1177" s="6"/>
      <c r="B1177" s="7"/>
      <c r="C1177" s="7"/>
      <c r="D1177" s="7"/>
      <c r="E1177" s="7"/>
      <c r="F1177" s="7"/>
      <c r="G1177" s="8"/>
      <c r="H1177" s="7"/>
      <c r="K1177" s="6"/>
    </row>
    <row r="1178" spans="1:11" x14ac:dyDescent="0.2">
      <c r="A1178" s="6"/>
      <c r="B1178" s="7"/>
      <c r="C1178" s="7"/>
      <c r="D1178" s="7"/>
      <c r="E1178" s="7"/>
      <c r="F1178" s="7"/>
      <c r="G1178" s="8"/>
      <c r="H1178" s="7"/>
      <c r="K1178" s="6"/>
    </row>
    <row r="1179" spans="1:11" x14ac:dyDescent="0.2">
      <c r="A1179" s="6"/>
      <c r="B1179" s="7"/>
      <c r="C1179" s="7"/>
      <c r="D1179" s="7"/>
      <c r="E1179" s="7"/>
      <c r="F1179" s="7"/>
      <c r="G1179" s="8"/>
      <c r="H1179" s="7"/>
      <c r="K1179" s="6"/>
    </row>
    <row r="1180" spans="1:11" x14ac:dyDescent="0.2">
      <c r="A1180" s="6"/>
      <c r="B1180" s="7"/>
      <c r="C1180" s="7"/>
      <c r="D1180" s="7"/>
      <c r="E1180" s="7"/>
      <c r="F1180" s="7"/>
      <c r="G1180" s="8"/>
      <c r="H1180" s="7"/>
      <c r="K1180" s="6"/>
    </row>
    <row r="1181" spans="1:11" x14ac:dyDescent="0.2">
      <c r="A1181" s="6"/>
      <c r="B1181" s="7"/>
      <c r="C1181" s="7"/>
      <c r="D1181" s="7"/>
      <c r="E1181" s="7"/>
      <c r="F1181" s="7"/>
      <c r="G1181" s="8"/>
      <c r="H1181" s="7"/>
      <c r="K1181" s="6"/>
    </row>
    <row r="1182" spans="1:11" x14ac:dyDescent="0.2">
      <c r="A1182" s="6"/>
      <c r="B1182" s="7"/>
      <c r="C1182" s="7"/>
      <c r="D1182" s="7"/>
      <c r="E1182" s="7"/>
      <c r="F1182" s="7"/>
      <c r="G1182" s="8"/>
      <c r="H1182" s="7"/>
      <c r="K1182" s="6"/>
    </row>
    <row r="1183" spans="1:11" x14ac:dyDescent="0.2">
      <c r="A1183" s="6"/>
      <c r="B1183" s="7"/>
      <c r="C1183" s="7"/>
      <c r="D1183" s="7"/>
      <c r="E1183" s="7"/>
      <c r="F1183" s="7"/>
      <c r="G1183" s="8"/>
      <c r="H1183" s="7"/>
      <c r="K1183" s="6"/>
    </row>
    <row r="1184" spans="1:11" x14ac:dyDescent="0.2">
      <c r="A1184" s="6"/>
      <c r="B1184" s="7"/>
      <c r="C1184" s="7"/>
      <c r="D1184" s="7"/>
      <c r="E1184" s="7"/>
      <c r="F1184" s="7"/>
      <c r="G1184" s="8"/>
      <c r="H1184" s="7"/>
      <c r="K1184" s="6"/>
    </row>
    <row r="1185" spans="1:11" x14ac:dyDescent="0.2">
      <c r="A1185" s="6"/>
      <c r="B1185" s="7"/>
      <c r="C1185" s="7"/>
      <c r="D1185" s="7"/>
      <c r="E1185" s="7"/>
      <c r="F1185" s="7"/>
      <c r="G1185" s="8"/>
      <c r="H1185" s="7"/>
      <c r="K1185" s="6"/>
    </row>
    <row r="1186" spans="1:11" x14ac:dyDescent="0.2">
      <c r="A1186" s="6"/>
      <c r="B1186" s="7"/>
      <c r="C1186" s="7"/>
      <c r="D1186" s="7"/>
      <c r="E1186" s="7"/>
      <c r="F1186" s="7"/>
      <c r="G1186" s="8"/>
      <c r="H1186" s="7"/>
      <c r="K1186" s="6"/>
    </row>
    <row r="1187" spans="1:11" x14ac:dyDescent="0.2">
      <c r="A1187" s="6"/>
      <c r="B1187" s="7"/>
      <c r="C1187" s="7"/>
      <c r="D1187" s="7"/>
      <c r="E1187" s="7"/>
      <c r="F1187" s="7"/>
      <c r="G1187" s="8"/>
      <c r="H1187" s="7"/>
      <c r="K1187" s="6"/>
    </row>
    <row r="1188" spans="1:11" x14ac:dyDescent="0.2">
      <c r="A1188" s="6"/>
      <c r="B1188" s="7"/>
      <c r="C1188" s="7"/>
      <c r="D1188" s="7"/>
      <c r="E1188" s="7"/>
      <c r="F1188" s="7"/>
      <c r="G1188" s="8"/>
      <c r="H1188" s="7"/>
      <c r="K1188" s="6"/>
    </row>
    <row r="1189" spans="1:11" x14ac:dyDescent="0.2">
      <c r="A1189" s="6"/>
      <c r="B1189" s="7"/>
      <c r="C1189" s="7"/>
      <c r="D1189" s="7"/>
      <c r="E1189" s="7"/>
      <c r="F1189" s="7"/>
      <c r="G1189" s="8"/>
      <c r="H1189" s="7"/>
      <c r="K1189" s="6"/>
    </row>
    <row r="1190" spans="1:11" x14ac:dyDescent="0.2">
      <c r="A1190" s="6"/>
      <c r="B1190" s="7"/>
      <c r="C1190" s="7"/>
      <c r="D1190" s="7"/>
      <c r="E1190" s="7"/>
      <c r="F1190" s="7"/>
      <c r="G1190" s="8"/>
      <c r="H1190" s="7"/>
      <c r="K1190" s="6"/>
    </row>
    <row r="1191" spans="1:11" x14ac:dyDescent="0.2">
      <c r="A1191" s="6"/>
      <c r="B1191" s="7"/>
      <c r="C1191" s="7"/>
      <c r="D1191" s="7"/>
      <c r="E1191" s="7"/>
      <c r="F1191" s="7"/>
      <c r="G1191" s="8"/>
      <c r="H1191" s="7"/>
      <c r="K1191" s="6"/>
    </row>
    <row r="1192" spans="1:11" x14ac:dyDescent="0.2">
      <c r="A1192" s="6"/>
      <c r="B1192" s="7"/>
      <c r="C1192" s="7"/>
      <c r="D1192" s="7"/>
      <c r="E1192" s="7"/>
      <c r="F1192" s="7"/>
      <c r="G1192" s="8"/>
      <c r="H1192" s="7"/>
      <c r="K1192" s="6"/>
    </row>
    <row r="1193" spans="1:11" x14ac:dyDescent="0.2">
      <c r="A1193" s="6"/>
      <c r="B1193" s="7"/>
      <c r="C1193" s="7"/>
      <c r="D1193" s="7"/>
      <c r="E1193" s="7"/>
      <c r="F1193" s="7"/>
      <c r="G1193" s="8"/>
      <c r="H1193" s="7"/>
      <c r="K1193" s="6"/>
    </row>
    <row r="1194" spans="1:11" x14ac:dyDescent="0.2">
      <c r="A1194" s="6"/>
      <c r="B1194" s="7"/>
      <c r="C1194" s="7"/>
      <c r="D1194" s="7"/>
      <c r="E1194" s="7"/>
      <c r="F1194" s="7"/>
      <c r="G1194" s="8"/>
      <c r="H1194" s="7"/>
      <c r="K1194" s="6"/>
    </row>
    <row r="1195" spans="1:11" x14ac:dyDescent="0.2">
      <c r="A1195" s="6"/>
      <c r="B1195" s="7"/>
      <c r="C1195" s="7"/>
      <c r="D1195" s="7"/>
      <c r="E1195" s="7"/>
      <c r="F1195" s="7"/>
      <c r="G1195" s="8"/>
      <c r="H1195" s="7"/>
      <c r="K1195" s="6"/>
    </row>
    <row r="1196" spans="1:11" x14ac:dyDescent="0.2">
      <c r="A1196" s="6"/>
      <c r="B1196" s="7"/>
      <c r="C1196" s="7"/>
      <c r="D1196" s="7"/>
      <c r="E1196" s="7"/>
      <c r="F1196" s="7"/>
      <c r="G1196" s="8"/>
      <c r="H1196" s="7"/>
      <c r="K1196" s="6"/>
    </row>
    <row r="1197" spans="1:11" x14ac:dyDescent="0.2">
      <c r="A1197" s="6"/>
      <c r="B1197" s="7"/>
      <c r="C1197" s="7"/>
      <c r="D1197" s="7"/>
      <c r="E1197" s="7"/>
      <c r="F1197" s="7"/>
      <c r="G1197" s="8"/>
      <c r="H1197" s="7"/>
      <c r="K1197" s="6"/>
    </row>
    <row r="1198" spans="1:11" x14ac:dyDescent="0.2">
      <c r="A1198" s="6"/>
      <c r="B1198" s="7"/>
      <c r="C1198" s="7"/>
      <c r="D1198" s="7"/>
      <c r="E1198" s="7"/>
      <c r="F1198" s="7"/>
      <c r="G1198" s="8"/>
      <c r="H1198" s="7"/>
      <c r="K1198" s="6"/>
    </row>
    <row r="1199" spans="1:11" x14ac:dyDescent="0.2">
      <c r="A1199" s="6"/>
      <c r="B1199" s="7"/>
      <c r="C1199" s="7"/>
      <c r="D1199" s="7"/>
      <c r="E1199" s="7"/>
      <c r="F1199" s="7"/>
      <c r="G1199" s="8"/>
      <c r="H1199" s="7"/>
      <c r="K1199" s="6"/>
    </row>
    <row r="1200" spans="1:11" x14ac:dyDescent="0.2">
      <c r="A1200" s="6"/>
      <c r="B1200" s="7"/>
      <c r="C1200" s="7"/>
      <c r="D1200" s="7"/>
      <c r="E1200" s="7"/>
      <c r="F1200" s="7"/>
      <c r="G1200" s="8"/>
      <c r="H1200" s="7"/>
      <c r="K1200" s="6"/>
    </row>
    <row r="1201" spans="1:11" x14ac:dyDescent="0.2">
      <c r="A1201" s="6"/>
      <c r="B1201" s="7"/>
      <c r="C1201" s="7"/>
      <c r="D1201" s="7"/>
      <c r="E1201" s="7"/>
      <c r="F1201" s="7"/>
      <c r="G1201" s="8"/>
      <c r="H1201" s="7"/>
      <c r="K1201" s="6"/>
    </row>
    <row r="1202" spans="1:11" x14ac:dyDescent="0.2">
      <c r="A1202" s="6"/>
      <c r="B1202" s="7"/>
      <c r="C1202" s="7"/>
      <c r="D1202" s="7"/>
      <c r="E1202" s="7"/>
      <c r="F1202" s="7"/>
      <c r="G1202" s="8"/>
      <c r="H1202" s="7"/>
      <c r="K1202" s="6"/>
    </row>
    <row r="1203" spans="1:11" x14ac:dyDescent="0.2">
      <c r="A1203" s="6"/>
      <c r="B1203" s="7"/>
      <c r="C1203" s="7"/>
      <c r="D1203" s="7"/>
      <c r="E1203" s="7"/>
      <c r="F1203" s="7"/>
      <c r="G1203" s="8"/>
      <c r="H1203" s="7"/>
      <c r="K1203" s="6"/>
    </row>
    <row r="1204" spans="1:11" x14ac:dyDescent="0.2">
      <c r="B1204" s="7"/>
      <c r="C1204" s="7"/>
      <c r="D1204" s="7"/>
      <c r="E1204" s="7"/>
      <c r="F1204" s="7"/>
      <c r="G1204" s="8"/>
      <c r="H1204" s="7"/>
      <c r="K1204" s="6"/>
    </row>
    <row r="1205" spans="1:11" x14ac:dyDescent="0.2">
      <c r="B1205" s="7"/>
      <c r="H1205" s="7"/>
      <c r="K1205" s="6"/>
    </row>
    <row r="1206" spans="1:11" x14ac:dyDescent="0.2">
      <c r="B1206" s="7"/>
      <c r="C1206" s="7"/>
      <c r="D1206" s="7"/>
      <c r="E1206" s="7"/>
      <c r="F1206" s="7"/>
      <c r="G1206" s="8"/>
      <c r="H1206" s="7"/>
      <c r="K1206" s="6"/>
    </row>
    <row r="1207" spans="1:11" x14ac:dyDescent="0.2">
      <c r="B1207" s="7"/>
      <c r="C1207" s="7"/>
      <c r="D1207" s="7"/>
      <c r="E1207" s="7"/>
      <c r="F1207" s="7"/>
      <c r="G1207" s="8"/>
      <c r="H1207" s="7"/>
      <c r="K1207" s="6"/>
    </row>
    <row r="1208" spans="1:11" x14ac:dyDescent="0.2">
      <c r="B1208" s="7"/>
      <c r="C1208" s="7"/>
      <c r="D1208" s="7"/>
      <c r="E1208" s="7"/>
      <c r="F1208" s="7"/>
      <c r="G1208" s="8"/>
      <c r="H1208" s="7"/>
      <c r="K1208" s="6"/>
    </row>
    <row r="1209" spans="1:11" x14ac:dyDescent="0.2">
      <c r="B1209" s="7"/>
      <c r="C1209" s="7"/>
      <c r="D1209" s="7"/>
      <c r="E1209" s="7"/>
      <c r="F1209" s="7"/>
      <c r="G1209" s="8"/>
      <c r="H1209" s="7"/>
      <c r="K1209" s="6"/>
    </row>
    <row r="1210" spans="1:11" x14ac:dyDescent="0.2">
      <c r="B1210" s="7"/>
      <c r="C1210" s="7"/>
      <c r="D1210" s="7"/>
      <c r="E1210" s="7"/>
      <c r="F1210" s="7"/>
      <c r="G1210" s="8"/>
      <c r="H1210" s="7"/>
      <c r="K1210" s="6"/>
    </row>
    <row r="1211" spans="1:11" x14ac:dyDescent="0.2">
      <c r="B1211" s="7"/>
      <c r="C1211" s="7"/>
      <c r="D1211" s="7"/>
      <c r="E1211" s="7"/>
      <c r="F1211" s="7"/>
      <c r="G1211" s="8"/>
      <c r="H1211" s="7"/>
      <c r="K1211" s="6"/>
    </row>
    <row r="1212" spans="1:11" x14ac:dyDescent="0.2">
      <c r="B1212" s="7"/>
      <c r="C1212" s="7"/>
      <c r="D1212" s="7"/>
      <c r="E1212" s="7"/>
      <c r="F1212" s="7"/>
      <c r="G1212" s="8"/>
      <c r="H1212" s="7"/>
      <c r="K1212" s="6"/>
    </row>
    <row r="1213" spans="1:11" x14ac:dyDescent="0.2">
      <c r="B1213" s="7"/>
      <c r="C1213" s="7"/>
      <c r="D1213" s="7"/>
      <c r="E1213" s="7"/>
      <c r="F1213" s="7"/>
      <c r="G1213" s="8"/>
      <c r="H1213" s="7"/>
      <c r="K1213" s="6"/>
    </row>
    <row r="1214" spans="1:11" x14ac:dyDescent="0.2">
      <c r="B1214" s="7"/>
      <c r="C1214" s="7"/>
      <c r="D1214" s="7"/>
      <c r="E1214" s="7"/>
      <c r="F1214" s="7"/>
      <c r="G1214" s="8"/>
      <c r="H1214" s="7"/>
      <c r="K1214" s="6"/>
    </row>
    <row r="1215" spans="1:11" x14ac:dyDescent="0.2">
      <c r="B1215" s="7"/>
      <c r="C1215" s="7"/>
      <c r="D1215" s="7"/>
      <c r="E1215" s="7"/>
      <c r="F1215" s="7"/>
      <c r="G1215" s="8"/>
      <c r="K1215" s="6"/>
    </row>
    <row r="1216" spans="1:11" x14ac:dyDescent="0.2">
      <c r="B1216" s="7"/>
      <c r="C1216" s="7"/>
      <c r="D1216" s="7"/>
      <c r="E1216" s="7"/>
      <c r="F1216" s="7"/>
      <c r="G1216" s="8"/>
      <c r="H1216" s="7"/>
      <c r="K1216" s="6"/>
    </row>
    <row r="1217" spans="2:11" x14ac:dyDescent="0.2">
      <c r="B1217" s="7"/>
      <c r="C1217" s="7"/>
      <c r="D1217" s="7"/>
      <c r="E1217" s="7"/>
      <c r="F1217" s="7"/>
      <c r="G1217" s="8"/>
      <c r="H1217" s="7"/>
      <c r="K1217" s="6"/>
    </row>
    <row r="1218" spans="2:11" x14ac:dyDescent="0.2">
      <c r="B1218" s="7"/>
      <c r="C1218" s="7"/>
      <c r="D1218" s="7"/>
      <c r="E1218" s="7"/>
      <c r="F1218" s="7"/>
      <c r="G1218" s="8"/>
      <c r="H1218" s="7"/>
      <c r="K1218" s="6"/>
    </row>
    <row r="1219" spans="2:11" x14ac:dyDescent="0.2">
      <c r="B1219" s="7"/>
      <c r="C1219" s="7"/>
      <c r="D1219" s="7"/>
      <c r="E1219" s="7"/>
      <c r="F1219" s="7"/>
      <c r="G1219" s="8"/>
      <c r="H1219" s="7"/>
      <c r="K1219" s="6"/>
    </row>
    <row r="1220" spans="2:11" x14ac:dyDescent="0.2">
      <c r="B1220" s="7"/>
      <c r="C1220" s="7"/>
      <c r="D1220" s="7"/>
      <c r="E1220" s="7"/>
      <c r="F1220" s="7"/>
      <c r="G1220" s="8"/>
      <c r="H1220" s="7"/>
      <c r="K1220" s="6"/>
    </row>
    <row r="1221" spans="2:11" x14ac:dyDescent="0.2">
      <c r="B1221" s="7"/>
      <c r="C1221" s="7"/>
      <c r="D1221" s="7"/>
      <c r="E1221" s="7"/>
      <c r="F1221" s="7"/>
      <c r="G1221" s="8"/>
      <c r="H1221" s="7"/>
      <c r="K1221" s="6"/>
    </row>
    <row r="1222" spans="2:11" x14ac:dyDescent="0.2">
      <c r="B1222" s="7"/>
      <c r="C1222" s="7"/>
      <c r="D1222" s="7"/>
      <c r="E1222" s="7"/>
      <c r="F1222" s="7"/>
      <c r="G1222" s="8"/>
      <c r="H1222" s="7"/>
      <c r="K1222" s="6"/>
    </row>
    <row r="1223" spans="2:11" x14ac:dyDescent="0.2">
      <c r="B1223" s="7"/>
      <c r="C1223" s="7"/>
      <c r="D1223" s="7"/>
      <c r="E1223" s="7"/>
      <c r="F1223" s="7"/>
      <c r="G1223" s="8"/>
      <c r="H1223" s="7"/>
      <c r="K1223" s="6"/>
    </row>
    <row r="1224" spans="2:11" x14ac:dyDescent="0.2">
      <c r="B1224" s="7"/>
      <c r="C1224" s="7"/>
      <c r="D1224" s="7"/>
      <c r="E1224" s="7"/>
      <c r="F1224" s="7"/>
      <c r="G1224" s="8"/>
      <c r="H1224" s="7"/>
      <c r="K1224" s="6"/>
    </row>
    <row r="1225" spans="2:11" x14ac:dyDescent="0.2">
      <c r="B1225" s="7"/>
      <c r="C1225" s="7"/>
      <c r="D1225" s="7"/>
      <c r="E1225" s="7"/>
      <c r="F1225" s="7"/>
      <c r="G1225" s="8"/>
      <c r="H1225" s="7"/>
      <c r="K1225" s="6"/>
    </row>
    <row r="1226" spans="2:11" x14ac:dyDescent="0.2">
      <c r="B1226" s="7"/>
      <c r="C1226" s="7"/>
      <c r="D1226" s="7"/>
      <c r="E1226" s="7"/>
      <c r="F1226" s="7"/>
      <c r="G1226" s="8"/>
      <c r="H1226" s="7"/>
      <c r="K1226" s="6"/>
    </row>
    <row r="1227" spans="2:11" x14ac:dyDescent="0.2">
      <c r="B1227" s="7"/>
      <c r="C1227" s="7"/>
      <c r="D1227" s="7"/>
      <c r="E1227" s="7"/>
      <c r="F1227" s="7"/>
      <c r="G1227" s="8"/>
      <c r="H1227" s="7"/>
      <c r="K1227" s="6"/>
    </row>
    <row r="1228" spans="2:11" x14ac:dyDescent="0.2">
      <c r="B1228" s="7"/>
      <c r="C1228" s="7"/>
      <c r="D1228" s="7"/>
      <c r="E1228" s="7"/>
      <c r="F1228" s="7"/>
      <c r="G1228" s="8"/>
      <c r="H1228" s="7"/>
      <c r="K1228" s="6"/>
    </row>
    <row r="1229" spans="2:11" x14ac:dyDescent="0.2">
      <c r="B1229" s="7"/>
      <c r="C1229" s="7"/>
      <c r="D1229" s="7"/>
      <c r="E1229" s="7"/>
      <c r="F1229" s="7"/>
      <c r="G1229" s="8"/>
      <c r="H1229" s="7"/>
      <c r="K1229" s="6"/>
    </row>
    <row r="1230" spans="2:11" x14ac:dyDescent="0.2">
      <c r="B1230" s="7"/>
      <c r="C1230" s="7"/>
      <c r="D1230" s="7"/>
      <c r="E1230" s="7"/>
      <c r="F1230" s="7"/>
      <c r="G1230" s="8"/>
      <c r="H1230" s="7"/>
      <c r="K1230" s="6"/>
    </row>
    <row r="1231" spans="2:11" x14ac:dyDescent="0.2">
      <c r="B1231" s="7"/>
      <c r="C1231" s="7"/>
      <c r="D1231" s="7"/>
      <c r="E1231" s="7"/>
      <c r="F1231" s="7"/>
      <c r="G1231" s="8"/>
      <c r="H1231" s="7"/>
      <c r="K1231" s="6"/>
    </row>
    <row r="1232" spans="2:11" x14ac:dyDescent="0.2">
      <c r="B1232" s="7"/>
      <c r="C1232" s="7"/>
      <c r="D1232" s="7"/>
      <c r="E1232" s="7"/>
      <c r="F1232" s="7"/>
      <c r="G1232" s="8"/>
      <c r="H1232" s="7"/>
      <c r="K1232" s="6"/>
    </row>
    <row r="1233" spans="2:11" x14ac:dyDescent="0.2">
      <c r="B1233" s="7"/>
      <c r="C1233" s="7"/>
      <c r="D1233" s="7"/>
      <c r="E1233" s="7"/>
      <c r="F1233" s="7"/>
      <c r="G1233" s="8"/>
      <c r="H1233" s="7"/>
      <c r="K1233" s="6"/>
    </row>
    <row r="1234" spans="2:11" x14ac:dyDescent="0.2">
      <c r="B1234" s="7"/>
      <c r="C1234" s="7"/>
      <c r="D1234" s="7"/>
      <c r="E1234" s="7"/>
      <c r="F1234" s="7"/>
      <c r="G1234" s="8"/>
      <c r="H1234" s="7"/>
      <c r="K1234" s="6"/>
    </row>
    <row r="1235" spans="2:11" x14ac:dyDescent="0.2">
      <c r="B1235" s="7"/>
      <c r="C1235" s="7"/>
      <c r="D1235" s="7"/>
      <c r="E1235" s="7"/>
      <c r="F1235" s="7"/>
      <c r="G1235" s="8"/>
      <c r="H1235" s="7"/>
      <c r="K1235" s="6"/>
    </row>
    <row r="1236" spans="2:11" x14ac:dyDescent="0.2">
      <c r="B1236" s="7"/>
      <c r="C1236" s="7"/>
      <c r="D1236" s="7"/>
      <c r="E1236" s="7"/>
      <c r="F1236" s="7"/>
      <c r="G1236" s="8"/>
      <c r="H1236" s="7"/>
      <c r="K1236" s="6"/>
    </row>
    <row r="1237" spans="2:11" x14ac:dyDescent="0.2">
      <c r="B1237" s="7"/>
      <c r="C1237" s="7"/>
      <c r="D1237" s="7"/>
      <c r="E1237" s="7"/>
      <c r="F1237" s="7"/>
      <c r="G1237" s="8"/>
      <c r="H1237" s="7"/>
      <c r="K1237" s="6"/>
    </row>
    <row r="1238" spans="2:11" x14ac:dyDescent="0.2">
      <c r="B1238" s="7"/>
      <c r="C1238" s="7"/>
      <c r="D1238" s="7"/>
      <c r="E1238" s="7"/>
      <c r="F1238" s="7"/>
      <c r="G1238" s="8"/>
      <c r="H1238" s="7"/>
      <c r="K1238" s="6"/>
    </row>
    <row r="1239" spans="2:11" x14ac:dyDescent="0.2">
      <c r="B1239" s="7"/>
      <c r="C1239" s="7"/>
      <c r="D1239" s="7"/>
      <c r="E1239" s="7"/>
      <c r="F1239" s="7"/>
      <c r="G1239" s="8"/>
      <c r="H1239" s="7"/>
      <c r="K1239" s="6"/>
    </row>
    <row r="1240" spans="2:11" x14ac:dyDescent="0.2">
      <c r="B1240" s="7"/>
      <c r="C1240" s="7"/>
      <c r="D1240" s="7"/>
      <c r="E1240" s="7"/>
      <c r="F1240" s="7"/>
      <c r="G1240" s="8"/>
      <c r="H1240" s="7"/>
      <c r="K1240" s="6"/>
    </row>
    <row r="1241" spans="2:11" x14ac:dyDescent="0.2">
      <c r="B1241" s="7"/>
      <c r="C1241" s="7"/>
      <c r="D1241" s="7"/>
      <c r="E1241" s="7"/>
      <c r="F1241" s="7"/>
      <c r="G1241" s="8"/>
      <c r="H1241" s="7"/>
      <c r="K1241" s="6"/>
    </row>
    <row r="1242" spans="2:11" x14ac:dyDescent="0.2">
      <c r="B1242" s="7"/>
      <c r="C1242" s="7"/>
      <c r="D1242" s="7"/>
      <c r="E1242" s="7"/>
      <c r="F1242" s="7"/>
      <c r="G1242" s="8"/>
      <c r="H1242" s="7"/>
      <c r="K1242" s="6"/>
    </row>
    <row r="1243" spans="2:11" x14ac:dyDescent="0.2">
      <c r="B1243" s="7"/>
      <c r="C1243" s="7"/>
      <c r="D1243" s="7"/>
      <c r="E1243" s="7"/>
      <c r="F1243" s="7"/>
      <c r="G1243" s="8"/>
      <c r="H1243" s="7"/>
      <c r="K1243" s="6"/>
    </row>
    <row r="1244" spans="2:11" x14ac:dyDescent="0.2">
      <c r="B1244" s="7"/>
      <c r="C1244" s="7"/>
      <c r="D1244" s="7"/>
      <c r="E1244" s="7"/>
      <c r="F1244" s="7"/>
      <c r="G1244" s="8"/>
      <c r="H1244" s="7"/>
      <c r="K1244" s="6"/>
    </row>
    <row r="1245" spans="2:11" x14ac:dyDescent="0.2">
      <c r="B1245" s="7"/>
      <c r="C1245" s="7"/>
      <c r="D1245" s="7"/>
      <c r="E1245" s="7"/>
      <c r="F1245" s="7"/>
      <c r="G1245" s="8"/>
      <c r="H1245" s="7"/>
      <c r="K1245" s="6"/>
    </row>
    <row r="1246" spans="2:11" x14ac:dyDescent="0.2">
      <c r="B1246" s="7"/>
      <c r="C1246" s="7"/>
      <c r="D1246" s="7"/>
      <c r="E1246" s="7"/>
      <c r="F1246" s="7"/>
      <c r="G1246" s="8"/>
      <c r="H1246" s="7"/>
      <c r="K1246" s="6"/>
    </row>
    <row r="1247" spans="2:11" x14ac:dyDescent="0.2">
      <c r="B1247" s="7"/>
      <c r="C1247" s="7"/>
      <c r="D1247" s="7"/>
      <c r="E1247" s="7"/>
      <c r="F1247" s="7"/>
      <c r="G1247" s="8"/>
      <c r="H1247" s="7"/>
      <c r="K1247" s="6"/>
    </row>
    <row r="1248" spans="2:11" x14ac:dyDescent="0.2">
      <c r="B1248" s="7"/>
      <c r="C1248" s="7"/>
      <c r="D1248" s="7"/>
      <c r="E1248" s="7"/>
      <c r="F1248" s="7"/>
      <c r="G1248" s="8"/>
      <c r="H1248" s="7"/>
      <c r="K1248" s="6"/>
    </row>
    <row r="1249" spans="2:11" x14ac:dyDescent="0.2">
      <c r="B1249" s="7"/>
      <c r="C1249" s="7"/>
      <c r="D1249" s="7"/>
      <c r="E1249" s="7"/>
      <c r="F1249" s="7"/>
      <c r="G1249" s="8"/>
      <c r="H1249" s="7"/>
      <c r="K1249" s="6"/>
    </row>
    <row r="1250" spans="2:11" x14ac:dyDescent="0.2">
      <c r="B1250" s="7"/>
      <c r="C1250" s="7"/>
      <c r="D1250" s="7"/>
      <c r="E1250" s="7"/>
      <c r="F1250" s="7"/>
      <c r="G1250" s="8"/>
      <c r="H1250" s="7"/>
      <c r="K1250" s="6"/>
    </row>
    <row r="1251" spans="2:11" x14ac:dyDescent="0.2">
      <c r="B1251" s="7"/>
      <c r="C1251" s="7"/>
      <c r="D1251" s="7"/>
      <c r="E1251" s="7"/>
      <c r="F1251" s="7"/>
      <c r="G1251" s="8"/>
      <c r="H1251" s="7"/>
      <c r="K1251" s="6"/>
    </row>
    <row r="1252" spans="2:11" x14ac:dyDescent="0.2">
      <c r="B1252" s="7"/>
      <c r="C1252" s="7"/>
      <c r="D1252" s="7"/>
      <c r="E1252" s="7"/>
      <c r="F1252" s="7"/>
      <c r="G1252" s="8"/>
      <c r="H1252" s="7"/>
      <c r="K1252" s="6"/>
    </row>
    <row r="1253" spans="2:11" x14ac:dyDescent="0.2">
      <c r="B1253" s="7"/>
      <c r="C1253" s="7"/>
      <c r="D1253" s="7"/>
      <c r="E1253" s="7"/>
      <c r="F1253" s="7"/>
      <c r="G1253" s="8"/>
      <c r="H1253" s="7"/>
      <c r="K1253" s="6"/>
    </row>
    <row r="1254" spans="2:11" x14ac:dyDescent="0.2">
      <c r="B1254" s="7"/>
      <c r="C1254" s="7"/>
      <c r="D1254" s="7"/>
      <c r="E1254" s="7"/>
      <c r="F1254" s="7"/>
      <c r="G1254" s="8"/>
      <c r="H1254" s="7"/>
      <c r="K1254" s="6"/>
    </row>
    <row r="1255" spans="2:11" x14ac:dyDescent="0.2">
      <c r="B1255" s="7"/>
      <c r="C1255" s="7"/>
      <c r="D1255" s="7"/>
      <c r="E1255" s="7"/>
      <c r="F1255" s="7"/>
      <c r="G1255" s="8"/>
      <c r="H1255" s="7"/>
      <c r="K1255" s="6"/>
    </row>
    <row r="1256" spans="2:11" x14ac:dyDescent="0.2">
      <c r="B1256" s="7"/>
      <c r="C1256" s="7"/>
      <c r="D1256" s="7"/>
      <c r="E1256" s="7"/>
      <c r="F1256" s="7"/>
      <c r="G1256" s="8"/>
      <c r="H1256" s="7"/>
      <c r="K1256" s="6"/>
    </row>
    <row r="1257" spans="2:11" x14ac:dyDescent="0.2">
      <c r="B1257" s="7"/>
      <c r="C1257" s="7"/>
      <c r="D1257" s="7"/>
      <c r="E1257" s="7"/>
      <c r="F1257" s="7"/>
      <c r="G1257" s="8"/>
      <c r="H1257" s="7"/>
      <c r="K1257" s="6"/>
    </row>
    <row r="1258" spans="2:11" x14ac:dyDescent="0.2">
      <c r="B1258" s="7"/>
      <c r="C1258" s="7"/>
      <c r="D1258" s="7"/>
      <c r="E1258" s="7"/>
      <c r="F1258" s="7"/>
      <c r="G1258" s="8"/>
      <c r="H1258" s="7"/>
      <c r="K1258" s="6"/>
    </row>
    <row r="1259" spans="2:11" x14ac:dyDescent="0.2">
      <c r="B1259" s="7"/>
      <c r="C1259" s="7"/>
      <c r="D1259" s="7"/>
      <c r="E1259" s="7"/>
      <c r="F1259" s="7"/>
      <c r="G1259" s="8"/>
      <c r="H1259" s="7"/>
      <c r="K1259" s="6"/>
    </row>
    <row r="1260" spans="2:11" x14ac:dyDescent="0.2">
      <c r="B1260" s="7"/>
      <c r="C1260" s="7"/>
      <c r="D1260" s="7"/>
      <c r="E1260" s="7"/>
      <c r="F1260" s="7"/>
      <c r="G1260" s="8"/>
      <c r="H1260" s="7"/>
      <c r="K1260" s="6"/>
    </row>
    <row r="1261" spans="2:11" x14ac:dyDescent="0.2">
      <c r="B1261" s="7"/>
      <c r="C1261" s="7"/>
      <c r="D1261" s="7"/>
      <c r="E1261" s="7"/>
      <c r="F1261" s="7"/>
      <c r="G1261" s="8"/>
      <c r="H1261" s="7"/>
      <c r="K1261" s="6"/>
    </row>
    <row r="1262" spans="2:11" x14ac:dyDescent="0.2">
      <c r="B1262" s="7"/>
      <c r="C1262" s="7"/>
      <c r="D1262" s="7"/>
      <c r="E1262" s="7"/>
      <c r="F1262" s="7"/>
      <c r="G1262" s="8"/>
      <c r="H1262" s="7"/>
      <c r="K1262" s="6"/>
    </row>
    <row r="1263" spans="2:11" x14ac:dyDescent="0.2">
      <c r="B1263" s="7"/>
      <c r="C1263" s="7"/>
      <c r="D1263" s="7"/>
      <c r="E1263" s="7"/>
      <c r="F1263" s="7"/>
      <c r="G1263" s="8"/>
      <c r="H1263" s="7"/>
      <c r="K1263" s="6"/>
    </row>
    <row r="1264" spans="2:11" x14ac:dyDescent="0.2">
      <c r="B1264" s="7"/>
      <c r="H1264" s="7"/>
      <c r="K1264" s="6"/>
    </row>
    <row r="1265" spans="2:11" x14ac:dyDescent="0.2">
      <c r="B1265" s="7"/>
      <c r="C1265" s="7"/>
      <c r="D1265" s="7"/>
      <c r="E1265" s="7"/>
      <c r="F1265" s="7"/>
      <c r="G1265" s="8"/>
      <c r="H1265" s="7"/>
      <c r="K1265" s="6"/>
    </row>
    <row r="1266" spans="2:11" x14ac:dyDescent="0.2">
      <c r="B1266" s="7"/>
      <c r="C1266" s="7"/>
      <c r="D1266" s="7"/>
      <c r="E1266" s="7"/>
      <c r="F1266" s="7"/>
      <c r="G1266" s="8"/>
      <c r="H1266" s="7"/>
      <c r="K1266" s="6"/>
    </row>
    <row r="1267" spans="2:11" x14ac:dyDescent="0.2">
      <c r="B1267" s="7"/>
      <c r="C1267" s="7"/>
      <c r="D1267" s="7"/>
      <c r="E1267" s="7"/>
      <c r="F1267" s="7"/>
      <c r="G1267" s="8"/>
      <c r="H1267" s="7"/>
      <c r="K1267" s="6"/>
    </row>
    <row r="1268" spans="2:11" x14ac:dyDescent="0.2">
      <c r="B1268" s="7"/>
      <c r="C1268" s="7"/>
      <c r="D1268" s="7"/>
      <c r="E1268" s="7"/>
      <c r="F1268" s="7"/>
      <c r="G1268" s="8"/>
      <c r="H1268" s="7"/>
      <c r="K1268" s="6"/>
    </row>
    <row r="1269" spans="2:11" x14ac:dyDescent="0.2">
      <c r="B1269" s="7"/>
      <c r="C1269" s="7"/>
      <c r="D1269" s="7"/>
      <c r="E1269" s="7"/>
      <c r="F1269" s="7"/>
      <c r="G1269" s="8"/>
      <c r="H1269" s="7"/>
      <c r="K1269" s="6"/>
    </row>
    <row r="1270" spans="2:11" x14ac:dyDescent="0.2">
      <c r="B1270" s="7"/>
      <c r="C1270" s="7"/>
      <c r="D1270" s="7"/>
      <c r="E1270" s="7"/>
      <c r="F1270" s="7"/>
      <c r="G1270" s="8"/>
      <c r="H1270" s="7"/>
      <c r="K1270" s="6"/>
    </row>
    <row r="1271" spans="2:11" x14ac:dyDescent="0.2">
      <c r="B1271" s="7"/>
      <c r="C1271" s="7"/>
      <c r="D1271" s="7"/>
      <c r="E1271" s="7"/>
      <c r="F1271" s="7"/>
      <c r="G1271" s="8"/>
      <c r="H1271" s="7"/>
      <c r="K1271" s="6"/>
    </row>
    <row r="1272" spans="2:11" x14ac:dyDescent="0.2">
      <c r="B1272" s="7"/>
      <c r="C1272" s="7"/>
      <c r="D1272" s="7"/>
      <c r="E1272" s="7"/>
      <c r="F1272" s="7"/>
      <c r="G1272" s="8"/>
      <c r="H1272" s="7"/>
      <c r="K1272" s="6"/>
    </row>
    <row r="1273" spans="2:11" x14ac:dyDescent="0.2">
      <c r="B1273" s="7"/>
      <c r="C1273" s="7"/>
      <c r="D1273" s="7"/>
      <c r="E1273" s="7"/>
      <c r="F1273" s="7"/>
      <c r="G1273" s="8"/>
      <c r="H1273" s="7"/>
      <c r="K1273" s="6"/>
    </row>
    <row r="1274" spans="2:11" x14ac:dyDescent="0.2">
      <c r="B1274" s="7"/>
      <c r="C1274" s="7"/>
      <c r="D1274" s="7"/>
      <c r="E1274" s="7"/>
      <c r="F1274" s="7"/>
      <c r="G1274" s="8"/>
      <c r="H1274" s="7"/>
      <c r="K1274" s="6"/>
    </row>
    <row r="1275" spans="2:11" x14ac:dyDescent="0.2">
      <c r="B1275" s="7"/>
      <c r="C1275" s="7"/>
      <c r="D1275" s="7"/>
      <c r="E1275" s="7"/>
      <c r="F1275" s="7"/>
      <c r="G1275" s="8"/>
      <c r="H1275" s="7"/>
      <c r="K1275" s="6"/>
    </row>
    <row r="1276" spans="2:11" x14ac:dyDescent="0.2">
      <c r="B1276" s="7"/>
      <c r="C1276" s="7"/>
      <c r="D1276" s="7"/>
      <c r="E1276" s="7"/>
      <c r="F1276" s="7"/>
      <c r="G1276" s="8"/>
      <c r="H1276" s="7"/>
      <c r="K1276" s="6"/>
    </row>
    <row r="1277" spans="2:11" x14ac:dyDescent="0.2">
      <c r="B1277" s="7"/>
      <c r="C1277" s="7"/>
      <c r="D1277" s="7"/>
      <c r="E1277" s="7"/>
      <c r="F1277" s="7"/>
      <c r="G1277" s="8"/>
      <c r="H1277" s="7"/>
      <c r="K1277" s="6"/>
    </row>
    <row r="1278" spans="2:11" x14ac:dyDescent="0.2">
      <c r="B1278" s="7"/>
      <c r="C1278" s="7"/>
      <c r="D1278" s="7"/>
      <c r="E1278" s="7"/>
      <c r="F1278" s="7"/>
      <c r="G1278" s="8"/>
      <c r="H1278" s="7"/>
      <c r="K1278" s="6"/>
    </row>
    <row r="1279" spans="2:11" x14ac:dyDescent="0.2">
      <c r="B1279" s="7"/>
      <c r="C1279" s="7"/>
      <c r="D1279" s="7"/>
      <c r="E1279" s="7"/>
      <c r="F1279" s="7"/>
      <c r="G1279" s="8"/>
      <c r="K1279" s="6"/>
    </row>
    <row r="1280" spans="2:11" x14ac:dyDescent="0.2">
      <c r="B1280" s="7"/>
      <c r="C1280" s="7"/>
      <c r="D1280" s="7"/>
      <c r="E1280" s="7"/>
      <c r="F1280" s="7"/>
      <c r="G1280" s="8"/>
    </row>
    <row r="1281" spans="2:7" x14ac:dyDescent="0.2">
      <c r="B1281" s="7"/>
      <c r="C1281" s="7"/>
      <c r="D1281" s="7"/>
      <c r="E1281" s="7"/>
      <c r="F1281" s="7"/>
      <c r="G1281" s="8"/>
    </row>
    <row r="1282" spans="2:7" x14ac:dyDescent="0.2">
      <c r="B1282" s="7"/>
      <c r="C1282" s="7"/>
      <c r="D1282" s="7"/>
      <c r="E1282" s="7"/>
      <c r="F1282" s="7"/>
      <c r="G1282" s="8"/>
    </row>
    <row r="1283" spans="2:7" x14ac:dyDescent="0.2">
      <c r="B1283" s="7"/>
      <c r="C1283" s="7"/>
      <c r="D1283" s="7"/>
      <c r="E1283" s="7"/>
      <c r="F1283" s="7"/>
      <c r="G1283" s="8"/>
    </row>
    <row r="1284" spans="2:7" x14ac:dyDescent="0.2">
      <c r="B1284" s="7"/>
      <c r="C1284" s="7"/>
      <c r="D1284" s="7"/>
      <c r="E1284" s="7"/>
      <c r="F1284" s="7"/>
      <c r="G1284" s="8"/>
    </row>
    <row r="1285" spans="2:7" x14ac:dyDescent="0.2">
      <c r="B1285" s="7"/>
      <c r="C1285" s="7"/>
      <c r="D1285" s="7"/>
      <c r="E1285" s="7"/>
      <c r="F1285" s="7"/>
      <c r="G1285" s="8"/>
    </row>
    <row r="1286" spans="2:7" x14ac:dyDescent="0.2">
      <c r="B1286" s="7"/>
      <c r="C1286" s="7"/>
      <c r="D1286" s="7"/>
      <c r="E1286" s="7"/>
      <c r="F1286" s="7"/>
      <c r="G1286" s="8"/>
    </row>
    <row r="1287" spans="2:7" x14ac:dyDescent="0.2">
      <c r="B1287" s="7"/>
      <c r="C1287" s="7"/>
      <c r="D1287" s="7"/>
      <c r="E1287" s="7"/>
      <c r="F1287" s="7"/>
      <c r="G1287" s="8"/>
    </row>
    <row r="1288" spans="2:7" x14ac:dyDescent="0.2">
      <c r="B1288" s="7"/>
      <c r="C1288" s="7"/>
      <c r="D1288" s="7"/>
      <c r="E1288" s="7"/>
      <c r="F1288" s="7"/>
      <c r="G1288" s="8"/>
    </row>
    <row r="1289" spans="2:7" x14ac:dyDescent="0.2">
      <c r="B1289" s="7"/>
      <c r="C1289" s="7"/>
      <c r="D1289" s="7"/>
      <c r="E1289" s="7"/>
      <c r="F1289" s="7"/>
      <c r="G1289" s="8"/>
    </row>
    <row r="1290" spans="2:7" x14ac:dyDescent="0.2">
      <c r="B1290" s="7"/>
      <c r="C1290" s="7"/>
      <c r="D1290" s="7"/>
      <c r="E1290" s="7"/>
      <c r="F1290" s="7"/>
      <c r="G1290" s="8"/>
    </row>
    <row r="1291" spans="2:7" x14ac:dyDescent="0.2">
      <c r="B1291" s="7"/>
      <c r="C1291" s="7"/>
      <c r="D1291" s="7"/>
      <c r="E1291" s="7"/>
      <c r="F1291" s="7"/>
      <c r="G1291" s="8"/>
    </row>
    <row r="1292" spans="2:7" x14ac:dyDescent="0.2">
      <c r="B1292" s="7"/>
      <c r="C1292" s="7"/>
      <c r="D1292" s="7"/>
      <c r="E1292" s="7"/>
      <c r="F1292" s="7"/>
      <c r="G1292" s="8"/>
    </row>
    <row r="1293" spans="2:7" x14ac:dyDescent="0.2">
      <c r="B1293" s="7"/>
      <c r="C1293" s="7"/>
      <c r="D1293" s="7"/>
      <c r="E1293" s="7"/>
      <c r="F1293" s="7"/>
      <c r="G1293" s="8"/>
    </row>
    <row r="1294" spans="2:7" x14ac:dyDescent="0.2">
      <c r="B1294" s="7"/>
      <c r="C1294" s="7"/>
      <c r="D1294" s="7"/>
      <c r="E1294" s="7"/>
      <c r="F1294" s="7"/>
      <c r="G1294" s="8"/>
    </row>
    <row r="1295" spans="2:7" x14ac:dyDescent="0.2">
      <c r="B1295" s="7"/>
      <c r="C1295" s="7"/>
      <c r="D1295" s="7"/>
      <c r="E1295" s="7"/>
      <c r="F1295" s="7"/>
      <c r="G1295" s="8"/>
    </row>
    <row r="1296" spans="2:7" x14ac:dyDescent="0.2">
      <c r="B1296" s="7"/>
      <c r="C1296" s="7"/>
      <c r="D1296" s="7"/>
      <c r="E1296" s="7"/>
      <c r="F1296" s="7"/>
      <c r="G1296" s="8"/>
    </row>
    <row r="1297" spans="2:7" x14ac:dyDescent="0.2">
      <c r="B1297" s="7"/>
      <c r="C1297" s="7"/>
      <c r="D1297" s="7"/>
      <c r="E1297" s="7"/>
      <c r="F1297" s="7"/>
      <c r="G1297" s="8"/>
    </row>
    <row r="1298" spans="2:7" x14ac:dyDescent="0.2">
      <c r="B1298" s="7"/>
      <c r="C1298" s="7"/>
      <c r="D1298" s="7"/>
      <c r="E1298" s="7"/>
      <c r="F1298" s="7"/>
      <c r="G1298" s="8"/>
    </row>
    <row r="1299" spans="2:7" x14ac:dyDescent="0.2">
      <c r="B1299" s="7"/>
      <c r="C1299" s="7"/>
      <c r="D1299" s="7"/>
      <c r="E1299" s="7"/>
      <c r="F1299" s="7"/>
      <c r="G1299" s="8"/>
    </row>
    <row r="1300" spans="2:7" x14ac:dyDescent="0.2">
      <c r="B1300" s="7"/>
      <c r="C1300" s="7"/>
      <c r="D1300" s="7"/>
      <c r="E1300" s="7"/>
      <c r="F1300" s="7"/>
      <c r="G1300" s="8"/>
    </row>
    <row r="1301" spans="2:7" x14ac:dyDescent="0.2">
      <c r="B1301" s="7"/>
      <c r="C1301" s="7"/>
      <c r="D1301" s="7"/>
      <c r="E1301" s="7"/>
      <c r="F1301" s="7"/>
      <c r="G1301" s="8"/>
    </row>
    <row r="1302" spans="2:7" x14ac:dyDescent="0.2">
      <c r="B1302" s="7"/>
      <c r="C1302" s="7"/>
      <c r="D1302" s="7"/>
      <c r="E1302" s="7"/>
      <c r="F1302" s="7"/>
      <c r="G1302" s="8"/>
    </row>
    <row r="1303" spans="2:7" x14ac:dyDescent="0.2">
      <c r="B1303" s="7"/>
      <c r="C1303" s="7"/>
      <c r="D1303" s="7"/>
      <c r="E1303" s="7"/>
      <c r="F1303" s="7"/>
      <c r="G1303" s="8"/>
    </row>
    <row r="1304" spans="2:7" x14ac:dyDescent="0.2">
      <c r="B1304" s="7"/>
      <c r="C1304" s="7"/>
      <c r="D1304" s="7"/>
      <c r="E1304" s="7"/>
      <c r="F1304" s="7"/>
      <c r="G1304" s="8"/>
    </row>
    <row r="1305" spans="2:7" x14ac:dyDescent="0.2">
      <c r="B1305" s="7"/>
      <c r="C1305" s="7"/>
      <c r="D1305" s="7"/>
      <c r="E1305" s="7"/>
      <c r="F1305" s="7"/>
      <c r="G1305" s="8"/>
    </row>
    <row r="1306" spans="2:7" x14ac:dyDescent="0.2">
      <c r="B1306" s="7"/>
      <c r="C1306" s="7"/>
      <c r="D1306" s="7"/>
      <c r="E1306" s="7"/>
      <c r="F1306" s="7"/>
      <c r="G1306" s="8"/>
    </row>
    <row r="1307" spans="2:7" x14ac:dyDescent="0.2">
      <c r="B1307" s="7"/>
      <c r="C1307" s="7"/>
      <c r="D1307" s="7"/>
      <c r="E1307" s="7"/>
      <c r="F1307" s="7"/>
      <c r="G1307" s="8"/>
    </row>
    <row r="1308" spans="2:7" x14ac:dyDescent="0.2">
      <c r="B1308" s="7"/>
      <c r="C1308" s="7"/>
      <c r="D1308" s="7"/>
      <c r="E1308" s="7"/>
      <c r="F1308" s="7"/>
      <c r="G1308" s="8"/>
    </row>
    <row r="1309" spans="2:7" x14ac:dyDescent="0.2">
      <c r="B1309" s="7"/>
      <c r="C1309" s="7"/>
      <c r="D1309" s="7"/>
      <c r="E1309" s="7"/>
      <c r="F1309" s="7"/>
      <c r="G1309" s="8"/>
    </row>
    <row r="1310" spans="2:7" x14ac:dyDescent="0.2">
      <c r="B1310" s="7"/>
      <c r="C1310" s="7"/>
      <c r="D1310" s="7"/>
      <c r="E1310" s="7"/>
      <c r="F1310" s="7"/>
      <c r="G1310" s="8"/>
    </row>
    <row r="1311" spans="2:7" x14ac:dyDescent="0.2">
      <c r="B1311" s="7"/>
      <c r="C1311" s="7"/>
      <c r="D1311" s="7"/>
      <c r="E1311" s="7"/>
      <c r="F1311" s="7"/>
      <c r="G1311" s="8"/>
    </row>
    <row r="1312" spans="2:7" x14ac:dyDescent="0.2">
      <c r="B1312" s="7"/>
      <c r="C1312" s="7"/>
      <c r="D1312" s="7"/>
      <c r="E1312" s="7"/>
      <c r="F1312" s="7"/>
      <c r="G1312" s="8"/>
    </row>
    <row r="1313" spans="2:7" x14ac:dyDescent="0.2">
      <c r="B1313" s="7"/>
      <c r="C1313" s="7"/>
      <c r="D1313" s="7"/>
      <c r="E1313" s="7"/>
      <c r="F1313" s="7"/>
      <c r="G1313" s="8"/>
    </row>
    <row r="1314" spans="2:7" x14ac:dyDescent="0.2">
      <c r="B1314" s="7"/>
      <c r="C1314" s="7"/>
      <c r="D1314" s="7"/>
      <c r="E1314" s="7"/>
      <c r="F1314" s="7"/>
      <c r="G1314" s="8"/>
    </row>
    <row r="1315" spans="2:7" x14ac:dyDescent="0.2">
      <c r="B1315" s="7"/>
      <c r="C1315" s="7"/>
      <c r="D1315" s="7"/>
      <c r="E1315" s="7"/>
      <c r="F1315" s="7"/>
      <c r="G1315" s="8"/>
    </row>
    <row r="1316" spans="2:7" x14ac:dyDescent="0.2">
      <c r="B1316" s="7"/>
      <c r="C1316" s="7"/>
      <c r="D1316" s="7"/>
      <c r="E1316" s="7"/>
      <c r="F1316" s="7"/>
      <c r="G1316" s="8"/>
    </row>
    <row r="1317" spans="2:7" x14ac:dyDescent="0.2">
      <c r="B1317" s="7"/>
      <c r="C1317" s="7"/>
      <c r="D1317" s="7"/>
      <c r="E1317" s="7"/>
      <c r="F1317" s="7"/>
      <c r="G1317" s="8"/>
    </row>
    <row r="1318" spans="2:7" x14ac:dyDescent="0.2">
      <c r="B1318" s="7"/>
      <c r="C1318" s="7"/>
      <c r="D1318" s="7"/>
      <c r="E1318" s="7"/>
      <c r="F1318" s="7"/>
      <c r="G1318" s="8"/>
    </row>
    <row r="1319" spans="2:7" x14ac:dyDescent="0.2">
      <c r="B1319" s="7"/>
      <c r="C1319" s="7"/>
      <c r="D1319" s="7"/>
      <c r="E1319" s="7"/>
      <c r="F1319" s="7"/>
      <c r="G1319" s="8"/>
    </row>
    <row r="1320" spans="2:7" x14ac:dyDescent="0.2">
      <c r="B1320" s="7"/>
      <c r="C1320" s="7"/>
      <c r="D1320" s="7"/>
      <c r="E1320" s="7"/>
      <c r="F1320" s="7"/>
      <c r="G1320" s="8"/>
    </row>
    <row r="1321" spans="2:7" x14ac:dyDescent="0.2">
      <c r="B1321" s="7"/>
      <c r="C1321" s="7"/>
      <c r="D1321" s="7"/>
      <c r="E1321" s="7"/>
      <c r="F1321" s="7"/>
      <c r="G1321" s="8"/>
    </row>
    <row r="1322" spans="2:7" x14ac:dyDescent="0.2">
      <c r="B1322" s="7"/>
      <c r="C1322" s="7"/>
      <c r="D1322" s="7"/>
      <c r="E1322" s="7"/>
      <c r="F1322" s="7"/>
      <c r="G1322" s="8"/>
    </row>
    <row r="1323" spans="2:7" x14ac:dyDescent="0.2">
      <c r="B1323" s="7"/>
      <c r="C1323" s="7"/>
      <c r="D1323" s="7"/>
      <c r="E1323" s="7"/>
      <c r="F1323" s="7"/>
      <c r="G1323" s="8"/>
    </row>
    <row r="1324" spans="2:7" x14ac:dyDescent="0.2">
      <c r="B1324" s="7"/>
      <c r="C1324" s="7"/>
      <c r="D1324" s="7"/>
      <c r="E1324" s="7"/>
      <c r="F1324" s="7"/>
      <c r="G1324" s="8"/>
    </row>
    <row r="1325" spans="2:7" x14ac:dyDescent="0.2">
      <c r="B1325" s="7"/>
      <c r="C1325" s="7"/>
      <c r="D1325" s="7"/>
      <c r="E1325" s="7"/>
      <c r="F1325" s="7"/>
      <c r="G1325" s="8"/>
    </row>
    <row r="1326" spans="2:7" x14ac:dyDescent="0.2">
      <c r="B1326" s="7"/>
      <c r="C1326" s="7"/>
      <c r="D1326" s="7"/>
      <c r="E1326" s="7"/>
      <c r="F1326" s="7"/>
      <c r="G1326" s="8"/>
    </row>
    <row r="1327" spans="2:7" x14ac:dyDescent="0.2">
      <c r="B1327" s="7"/>
      <c r="C1327" s="7"/>
      <c r="D1327" s="7"/>
      <c r="E1327" s="7"/>
      <c r="F1327" s="7"/>
      <c r="G1327" s="8"/>
    </row>
    <row r="1328" spans="2:7" x14ac:dyDescent="0.2">
      <c r="B1328" s="7"/>
      <c r="C1328" s="7"/>
      <c r="D1328" s="7"/>
      <c r="E1328" s="7"/>
      <c r="F1328" s="7"/>
      <c r="G1328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4AC9-4A0D-6D4B-84D0-779F64F72CCB}">
  <dimension ref="A1:G9"/>
  <sheetViews>
    <sheetView tabSelected="1" zoomScale="150" workbookViewId="0">
      <selection activeCell="B11" sqref="B11"/>
    </sheetView>
  </sheetViews>
  <sheetFormatPr baseColWidth="10" defaultRowHeight="16" x14ac:dyDescent="0.2"/>
  <cols>
    <col min="2" max="2" width="15" customWidth="1"/>
    <col min="3" max="3" width="16.33203125" customWidth="1"/>
    <col min="4" max="4" width="16.1640625" customWidth="1"/>
    <col min="5" max="6" width="15.83203125" customWidth="1"/>
    <col min="7" max="7" width="15.6640625" customWidth="1"/>
  </cols>
  <sheetData>
    <row r="1" spans="1:7" x14ac:dyDescent="0.2">
      <c r="A1" t="s">
        <v>33</v>
      </c>
    </row>
    <row r="3" spans="1:7" x14ac:dyDescent="0.2">
      <c r="A3" t="s">
        <v>8</v>
      </c>
      <c r="B3" s="1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 s="1" t="s">
        <v>9</v>
      </c>
      <c r="B4">
        <f>_xlfn.COVARIANCE.P('ADJ CLOSES - RETURNS'!H3:H1203, 'ADJ CLOSES - RETURNS'!H3:H1203)</f>
        <v>1.1177759244163478E-3</v>
      </c>
      <c r="C4">
        <f>_xlfn.COVARIANCE.P('ADJ CLOSES - RETURNS'!I3:I1203, 'ADJ CLOSES - RETURNS'!H3:H1203)</f>
        <v>2.9484982474061573E-5</v>
      </c>
      <c r="D4">
        <f>_xlfn.COVARIANCE.P('ADJ CLOSES - RETURNS'!J3:J1203, 'ADJ CLOSES - RETURNS'!H3:H1203)</f>
        <v>4.3395743934564986E-5</v>
      </c>
      <c r="E4">
        <f>_xlfn.COVARIANCE.P('ADJ CLOSES - RETURNS'!K3:K1203, 'ADJ CLOSES - RETURNS'!H3:H1203)</f>
        <v>2.6670221434511561E-4</v>
      </c>
      <c r="F4">
        <f>_xlfn.COVARIANCE.P('ADJ CLOSES - RETURNS'!L3:L1203, 'ADJ CLOSES - RETURNS'!H3:H1203)</f>
        <v>6.9729270902170162E-6</v>
      </c>
      <c r="G4">
        <f>_xlfn.COVARIANCE.P('ADJ CLOSES - RETURNS'!M3:M1203, 'ADJ CLOSES - RETURNS'!H3:H1203)</f>
        <v>-1.9202362087759655E-6</v>
      </c>
    </row>
    <row r="5" spans="1:7" x14ac:dyDescent="0.2">
      <c r="A5" t="s">
        <v>10</v>
      </c>
      <c r="B5">
        <f>_xlfn.COVARIANCE.P('ADJ CLOSES - RETURNS'!H3:H1203,'ADJ CLOSES - RETURNS'!I3:I1203)</f>
        <v>2.9484982474061573E-5</v>
      </c>
      <c r="C5">
        <f>_xlfn.COVARIANCE.P('ADJ CLOSES - RETURNS'!I3:I1203,'ADJ CLOSES - RETURNS'!I3:I1203)</f>
        <v>3.9704487397295102E-4</v>
      </c>
      <c r="D5">
        <f>_xlfn.COVARIANCE.P('ADJ CLOSES - RETURNS'!J3:J1203,'ADJ CLOSES - RETURNS'!I3:I1203)</f>
        <v>2.1445049598170426E-4</v>
      </c>
      <c r="E5">
        <f>_xlfn.COVARIANCE.P('ADJ CLOSES - RETURNS'!K3:K1203,'ADJ CLOSES - RETURNS'!I3:I1203)</f>
        <v>2.7820402291255802E-6</v>
      </c>
      <c r="F5">
        <f>_xlfn.COVARIANCE.P('ADJ CLOSES - RETURNS'!L3:L1203,'ADJ CLOSES - RETURNS'!I3:I1203)</f>
        <v>1.3044005828074716E-5</v>
      </c>
      <c r="G5">
        <f>_xlfn.COVARIANCE.P('ADJ CLOSES - RETURNS'!M3:M1203,'ADJ CLOSES - RETURNS'!I3:I1203)</f>
        <v>-1.0212919709972466E-5</v>
      </c>
    </row>
    <row r="6" spans="1:7" x14ac:dyDescent="0.2">
      <c r="A6" t="s">
        <v>11</v>
      </c>
      <c r="B6">
        <f>_xlfn.COVARIANCE.P('ADJ CLOSES - RETURNS'!H3:H1203,'ADJ CLOSES - RETURNS'!J3:J1203)</f>
        <v>4.3395743934564986E-5</v>
      </c>
      <c r="C6">
        <f>_xlfn.COVARIANCE.P('ADJ CLOSES - RETURNS'!I3:I1203,'ADJ CLOSES - RETURNS'!J3:J1203)</f>
        <v>2.1445049598170426E-4</v>
      </c>
      <c r="D6">
        <f>_xlfn.COVARIANCE.P('ADJ CLOSES - RETURNS'!J3:J1203,'ADJ CLOSES - RETURNS'!J3:J1203)</f>
        <v>8.0416959312203595E-4</v>
      </c>
      <c r="E6">
        <f>_xlfn.COVARIANCE.P('ADJ CLOSES - RETURNS'!K3:K1203,'ADJ CLOSES - RETURNS'!J3:J1203)</f>
        <v>-2.6133823485205988E-5</v>
      </c>
      <c r="F6">
        <f>_xlfn.COVARIANCE.P('ADJ CLOSES - RETURNS'!L3:L1203,'ADJ CLOSES - RETURNS'!J3:J1203)</f>
        <v>4.1175413826342617E-5</v>
      </c>
      <c r="G6">
        <f>_xlfn.COVARIANCE.P('ADJ CLOSES - RETURNS'!M3:M1203,'ADJ CLOSES - RETURNS'!J3:J1203)</f>
        <v>-8.160915992701326E-6</v>
      </c>
    </row>
    <row r="7" spans="1:7" x14ac:dyDescent="0.2">
      <c r="A7" t="s">
        <v>12</v>
      </c>
      <c r="B7">
        <f>_xlfn.COVARIANCE.P('ADJ CLOSES - RETURNS'!H3:H1203,'ADJ CLOSES - RETURNS'!K3:K1203)</f>
        <v>2.6670221434511561E-4</v>
      </c>
      <c r="C7">
        <f>_xlfn.COVARIANCE.P('ADJ CLOSES - RETURNS'!I3:I1203,'ADJ CLOSES - RETURNS'!K3:K1203)</f>
        <v>2.7820402291255802E-6</v>
      </c>
      <c r="D7">
        <f>_xlfn.COVARIANCE.P('ADJ CLOSES - RETURNS'!J3:J1203,'ADJ CLOSES - RETURNS'!K3:K1203)</f>
        <v>-2.6133823485205988E-5</v>
      </c>
      <c r="E7">
        <f>_xlfn.COVARIANCE.P('ADJ CLOSES - RETURNS'!K3:K1203,'ADJ CLOSES - RETURNS'!K3:K1203)</f>
        <v>5.1438043021635109E-4</v>
      </c>
      <c r="F7">
        <f>_xlfn.COVARIANCE.P('ADJ CLOSES - RETURNS'!L3:L1203,'ADJ CLOSES - RETURNS'!K3:K1203)</f>
        <v>2.4606775470251522E-6</v>
      </c>
      <c r="G7">
        <f>_xlfn.COVARIANCE.P('ADJ CLOSES - RETURNS'!M3:M1203,'ADJ CLOSES - RETURNS'!K3:K1203)</f>
        <v>-6.9305521111611999E-7</v>
      </c>
    </row>
    <row r="8" spans="1:7" x14ac:dyDescent="0.2">
      <c r="A8" t="s">
        <v>13</v>
      </c>
      <c r="B8">
        <f>_xlfn.COVARIANCE.P('ADJ CLOSES - RETURNS'!H3:H1203,'ADJ CLOSES - RETURNS'!L3:L1203)</f>
        <v>6.9729270902170162E-6</v>
      </c>
      <c r="C8">
        <f>_xlfn.COVARIANCE.P('ADJ CLOSES - RETURNS'!I3:I1203,'ADJ CLOSES - RETURNS'!L3:L1203)</f>
        <v>1.3044005828074716E-5</v>
      </c>
      <c r="D8">
        <f>_xlfn.COVARIANCE.P('ADJ CLOSES - RETURNS'!J3:J1203,'ADJ CLOSES - RETURNS'!L3:L1203)</f>
        <v>4.1175413826342617E-5</v>
      </c>
      <c r="E8">
        <f>_xlfn.COVARIANCE.P('ADJ CLOSES - RETURNS'!K3:K1203,'ADJ CLOSES - RETURNS'!L3:L1203)</f>
        <v>2.4606775470251522E-6</v>
      </c>
      <c r="F8">
        <f>_xlfn.COVARIANCE.P('ADJ CLOSES - RETURNS'!L3:L1203,'ADJ CLOSES - RETURNS'!L3:L1203)</f>
        <v>1.797023030025602E-4</v>
      </c>
      <c r="G8">
        <f>_xlfn.COVARIANCE.P('ADJ CLOSES - RETURNS'!M3:M1203,'ADJ CLOSES - RETURNS'!L3:L1203)</f>
        <v>4.3944067085940337E-5</v>
      </c>
    </row>
    <row r="9" spans="1:7" x14ac:dyDescent="0.2">
      <c r="A9" t="s">
        <v>14</v>
      </c>
      <c r="B9">
        <f>_xlfn.COVARIANCE.P('ADJ CLOSES - RETURNS'!H3:H1203,'ADJ CLOSES - RETURNS'!M3:M1203)</f>
        <v>-1.9202362087759655E-6</v>
      </c>
      <c r="C9">
        <f>_xlfn.COVARIANCE.P('ADJ CLOSES - RETURNS'!I3:I1203,'ADJ CLOSES - RETURNS'!M3:M1203)</f>
        <v>-1.0212919709972466E-5</v>
      </c>
      <c r="D9">
        <f>_xlfn.COVARIANCE.P('ADJ CLOSES - RETURNS'!J3:J1203,'ADJ CLOSES - RETURNS'!M3:M1203)</f>
        <v>-8.160915992701326E-6</v>
      </c>
      <c r="E9">
        <f>_xlfn.COVARIANCE.P('ADJ CLOSES - RETURNS'!K3:K1203,'ADJ CLOSES - RETURNS'!M3:M1203)</f>
        <v>-6.9305521111611999E-7</v>
      </c>
      <c r="F9">
        <f>_xlfn.COVARIANCE.P('ADJ CLOSES - RETURNS'!L3:L1203,'ADJ CLOSES - RETURNS'!M3:M1203)</f>
        <v>4.3944067085940337E-5</v>
      </c>
      <c r="G9">
        <f>_xlfn.COVARIANCE.P('ADJ CLOSES - RETURNS'!M3:M1203,'ADJ CLOSES - RETURNS'!M3:M1203)</f>
        <v>2.3268305240016962E-4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FACTORS</vt:lpstr>
      <vt:lpstr>ALLOCATIONS</vt:lpstr>
      <vt:lpstr>ADJ CLOSES - RETURNS</vt:lpstr>
      <vt:lpstr>CORRELATION MATRIX</vt:lpstr>
      <vt:lpstr>COVARIANCE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Bizzini - alessandro.bizzini@studio.unibo.it</dc:creator>
  <cp:lastModifiedBy>Alessandro Bizzini - alessandro.bizzini@studio.unibo.i</cp:lastModifiedBy>
  <dcterms:created xsi:type="dcterms:W3CDTF">2025-11-18T23:46:11Z</dcterms:created>
  <dcterms:modified xsi:type="dcterms:W3CDTF">2025-12-06T23:48:25Z</dcterms:modified>
</cp:coreProperties>
</file>